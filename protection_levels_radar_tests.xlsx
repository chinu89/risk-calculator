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ummary" sheetId="1" r:id="rId4"/>
    <sheet state="visible" name="De-identified" sheetId="2" r:id="rId5"/>
    <sheet state="visible" name="Redacted" sheetId="3" r:id="rId6"/>
    <sheet state="visible" name="Physical Safeguard" sheetId="4" r:id="rId7"/>
  </sheets>
  <definedNames/>
  <calcPr/>
  <extLst>
    <ext uri="GoogleSheetsCustomDataVersion2">
      <go:sheetsCustomData xmlns:go="http://customooxmlschemas.google.com/" r:id="rId8" roundtripDataChecksum="fIAmUX7MLljMA9z+kV4pM1AJKqUTxev1ryWGHHdpoGE="/>
    </ext>
  </extLst>
</workbook>
</file>

<file path=xl/sharedStrings.xml><?xml version="1.0" encoding="utf-8"?>
<sst xmlns="http://schemas.openxmlformats.org/spreadsheetml/2006/main" count="2001" uniqueCount="125">
  <si>
    <t>Radar Test Cases — Paper Protection Measures  |  v13 Decision Tree  |  186 cases across 3 protection levels</t>
  </si>
  <si>
    <t>Protection Level</t>
  </si>
  <si>
    <t>Score</t>
  </si>
  <si>
    <t>Cases</t>
  </si>
  <si>
    <t>LOW</t>
  </si>
  <si>
    <t>MODERATE</t>
  </si>
  <si>
    <t>HIGH</t>
  </si>
  <si>
    <t>EXTREME</t>
  </si>
  <si>
    <t>Statistically de-identified</t>
  </si>
  <si>
    <t>Redacted</t>
  </si>
  <si>
    <t>Under physical safeguard</t>
  </si>
  <si>
    <t>TOTAL</t>
  </si>
  <si>
    <t>—</t>
  </si>
  <si>
    <t>Key Decision Rules to Validate</t>
  </si>
  <si>
    <t>Note 1</t>
  </si>
  <si>
    <t>Protection = De-identified (0.10): most cases route through Gate 2 — default LOW. Exceptions: hacker/media + malicious + bad-mit → MODERATE or HIGH.</t>
  </si>
  <si>
    <t>Note 2</t>
  </si>
  <si>
    <t>Protection = Redacted (0.20): hacker/media + malicious via Gate 1b → EXTREME (prot≤0.20 threshold). Physical safeguard (0.25) gives HIGH instead.</t>
  </si>
  <si>
    <t>Note 3</t>
  </si>
  <si>
    <t>Gate 1b authorized: prot&lt;0.85 → MODERATE regardless of mitigation strength (Q7/Q9 confirmed). This differs from plain text (0.85) which gives LOW for strong mits.</t>
  </si>
  <si>
    <t>Note 4</t>
  </si>
  <si>
    <t>Gate 3 authorized: confirmed_viewing splits by obligated (HIGH) vs non-obligated (MOD). ransomware_confirmed + malicious → EXTREME.</t>
  </si>
  <si>
    <t>Note 5</t>
  </si>
  <si>
    <t>Gate 3 unauthorized + unintentional: LEGALLY_OBLIGATED desc → HIGH; non-obligated + G3_EXTREME → EXTREME; others → HIGH.</t>
  </si>
  <si>
    <t>Note 6</t>
  </si>
  <si>
    <t>N/A mitigations: company_policy not shown for unauthorized recipients; ssn_exposed not shown for media. These combos are excluded.</t>
  </si>
  <si>
    <t>Paper · Statistically de-identified — Untested cases for Radar verification  |  v13 Prediction col K · Enter Radar result col L · Match auto-calculates col M</t>
  </si>
  <si>
    <t>25 cases  ·  Category = Paper  ·  Statistically de-identified  ·  1 HIGH  ·  19 LOW  ·  5 MODERATE</t>
  </si>
  <si>
    <t>#</t>
  </si>
  <si>
    <t>Decision Path</t>
  </si>
  <si>
    <t>Incident Nature</t>
  </si>
  <si>
    <t>Compromise</t>
  </si>
  <si>
    <t>Recipient Type</t>
  </si>
  <si>
    <t>Recipient Description</t>
  </si>
  <si>
    <t>Disposition</t>
  </si>
  <si>
    <t>Mitigation</t>
  </si>
  <si>
    <t>Gate</t>
  </si>
  <si>
    <t>v13 Prediction</t>
  </si>
  <si>
    <t>Radar Result
(enter here)</t>
  </si>
  <si>
    <t>Match</t>
  </si>
  <si>
    <t>Gate 1a — Confirmed safe (authorized)</t>
  </si>
  <si>
    <t>Intentional, malicious</t>
  </si>
  <si>
    <t>Hacking or malware other than ransomware</t>
  </si>
  <si>
    <t>authorized</t>
  </si>
  <si>
    <t>Covered entity</t>
  </si>
  <si>
    <t>Sufficient risk mitigation</t>
  </si>
  <si>
    <t>Recipient had the opportunity, but did not view, access, transfer, or use the data (unopened returned mail)</t>
  </si>
  <si>
    <t>Gate 1a</t>
  </si>
  <si>
    <t>Business associate</t>
  </si>
  <si>
    <t>Service provider</t>
  </si>
  <si>
    <t>Gate 1a — No-written-obtained + CE/fed + non-mal → LOW</t>
  </si>
  <si>
    <t>Unintentional or inadvertent</t>
  </si>
  <si>
    <t>Disclosure</t>
  </si>
  <si>
    <t>No written assurance was obtained</t>
  </si>
  <si>
    <t>Federal agency obligated to Privacy Act of 1974 and FISMA</t>
  </si>
  <si>
    <t>Gate 1a — Satisfactory + auth + obligated → LOW</t>
  </si>
  <si>
    <t>Satisfactory assurance was obtained from a recipient obligated to protect personal data</t>
  </si>
  <si>
    <t>Registered investment advisor</t>
  </si>
  <si>
    <t>Gate 1b — De-identified → LOW</t>
  </si>
  <si>
    <t>Recipient confirmed receipt and use of data as permitted</t>
  </si>
  <si>
    <t>Gate 1b</t>
  </si>
  <si>
    <t>Gate 2 — Default → LOW</t>
  </si>
  <si>
    <t>Insufficient or unknown risk mitigation</t>
  </si>
  <si>
    <t>Destroyed properly but unsure of backup or copy status</t>
  </si>
  <si>
    <t>Gate 2</t>
  </si>
  <si>
    <t>Gate 2 — Hacker/media + malicious + bad-mit → MOD</t>
  </si>
  <si>
    <t>unauthorized</t>
  </si>
  <si>
    <t>Hacker or thief</t>
  </si>
  <si>
    <t>Confirmed improper use or further exposure</t>
  </si>
  <si>
    <t>Media</t>
  </si>
  <si>
    <t>Gate 2 — Hacker/media + malicious + other → LOW</t>
  </si>
  <si>
    <t>Confirmed viewing or acquisition without evidence of any improper use</t>
  </si>
  <si>
    <t>Gate 2 — Hacker/media + malicious + ransomware → HIGH</t>
  </si>
  <si>
    <t>Confirmed ransomware acquisition with high risk to data integrity or availability</t>
  </si>
  <si>
    <t>Gate 2 — Hacker/media + not-malicious → LOW</t>
  </si>
  <si>
    <t>Intentional, not malicious</t>
  </si>
  <si>
    <t>Unauthorized use</t>
  </si>
  <si>
    <t>Gate 2 — Non hacker/media + ransomware → MOD</t>
  </si>
  <si>
    <t>Instructions: Run each case in RadarFirst (Paper · Statistically de-identified). Enter result in col K. Col L auto-calculates MATCH/MISMATCH.</t>
  </si>
  <si>
    <t>Paper · Redacted — Untested cases for Radar verification  |  v13 Prediction col K · Enter Radar result col L · Match auto-calculates col M</t>
  </si>
  <si>
    <t>80 cases  ·  Category = Paper  ·  Redacted  ·  15 EXTREME  ·  24 HIGH  ·  20 LOW  ·  21 MODERATE</t>
  </si>
  <si>
    <t>Gate 1a — Backup + unauthorized + malicious → HIGH</t>
  </si>
  <si>
    <t>Recovered or restored from backup without high risk to data integrity or availability</t>
  </si>
  <si>
    <t>Business associate or state government agency</t>
  </si>
  <si>
    <t>Gate 1a — Backup + unauthorized + not-malicious → MOD</t>
  </si>
  <si>
    <t>Gate 1a — Backup + unauthorized + unintentional → LOW</t>
  </si>
  <si>
    <t>Gate 1a — Forensic + unauthorized → LOW</t>
  </si>
  <si>
    <t>Forensic analysis concluded that regulated data was not compromised</t>
  </si>
  <si>
    <t>Gate 1a — No-retain + unauthorized + malicious → MOD</t>
  </si>
  <si>
    <t>Recipient could not reasonably retain the data</t>
  </si>
  <si>
    <t>Gate 1a — No-retain + unauthorized + not-malicious → LOW</t>
  </si>
  <si>
    <t>Gate 1a — Unopened + hacker/media + malicious → MOD</t>
  </si>
  <si>
    <t>Gate 1a — Unopened + other unauthorized → LOW</t>
  </si>
  <si>
    <t>Gate 1b — Attorney + malicious → EXTREME</t>
  </si>
  <si>
    <t>Attorney or law firm</t>
  </si>
  <si>
    <t>Gate 1b — Attorney + not-malicious → HIGH</t>
  </si>
  <si>
    <t>Gate 1b — Auth + partial prot → MOD</t>
  </si>
  <si>
    <t>Gate 1b — Employee + malicious → MOD</t>
  </si>
  <si>
    <t>Employee, workforce member, or agent of the entity</t>
  </si>
  <si>
    <t>Gate 1b — Employee + unintentional → LOW</t>
  </si>
  <si>
    <t>Gate 1b — Hacker/media + malicious + prot≤0.20 → EXTREME</t>
  </si>
  <si>
    <t>Gate 1b — Hacker/media + not-malicious + prot≤0.20 → HIGH</t>
  </si>
  <si>
    <t>Gate 1b — Hacker/media + unintentional → HIGH</t>
  </si>
  <si>
    <t>Gate 1b — Other unauthorized + malicious → HIGH</t>
  </si>
  <si>
    <t>Gate 1b — Other unauthorized + not-malicious → MOD</t>
  </si>
  <si>
    <t>Gate 3 — Auth + confirmed_viewing + non-obligated → MOD</t>
  </si>
  <si>
    <t>Gate 3</t>
  </si>
  <si>
    <t>Institutional client</t>
  </si>
  <si>
    <t>Gate 3 — Auth + confirmed_viewing + obligated → HIGH</t>
  </si>
  <si>
    <t>Gate 3 — Auth + G3_EXTREME → EXTREME</t>
  </si>
  <si>
    <t>Data has been sent to media or published</t>
  </si>
  <si>
    <t>Gate 3 — Auth + G3_HIGH → HIGH</t>
  </si>
  <si>
    <t>Gate 3 — Auth + ransomware + malicious → EXTREME</t>
  </si>
  <si>
    <t>Gate 3 — Unauthorized + malicious/not-malicious → EXTREME</t>
  </si>
  <si>
    <t>Gate 3 — Unauth + unintentional + G3_EXTREME → EXTREME</t>
  </si>
  <si>
    <t>Vendor</t>
  </si>
  <si>
    <t>Gate 3 — Unauth + unintentional + obligated desc → HIGH</t>
  </si>
  <si>
    <t>Gate 3 — Unauth + unintentional + other mit → HIGH</t>
  </si>
  <si>
    <t>Instructions: Run each case in RadarFirst (Paper · Redacted). Enter result in col K. Col L auto-calculates MATCH/MISMATCH.</t>
  </si>
  <si>
    <t>Paper · Under physical safeguard — Untested cases for Radar verification  |  v13 Prediction col K · Enter Radar result col L · Match auto-calculates col M</t>
  </si>
  <si>
    <t>81 cases  ·  Category = Paper  ·  Under physical safeguard  ·  13 EXTREME  ·  24 HIGH  ·  20 LOW  ·  24 MODERATE</t>
  </si>
  <si>
    <t>Written assurance was provided (confidentiality agreement, attestation)</t>
  </si>
  <si>
    <t>Gate 1b — Hacker/media + malicious + prot&gt;0.20 → HIGH</t>
  </si>
  <si>
    <t>Gate 1b — Hacker/media + not-malicious + prot&gt;0.20 → MOD</t>
  </si>
  <si>
    <t>Instructions: Run each case in RadarFirst (Paper · Under physical safeguard). Enter result in col K. Col L auto-calculates MATCH/MISMATCH.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</si>
</sst>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5">
    <font>
      <sz val="11.0"/>
      <color theme="1"/>
      <name val="Calibri"/>
      <scheme val="minor"/>
    </font>
    <font>
      <b/>
      <sz val="11.0"/>
      <color rgb="FFFFFFFF"/>
      <name val="Arial"/>
    </font>
    <font/>
    <font>
      <b/>
      <sz val="9.0"/>
      <color rgb="FFFFFFFF"/>
      <name val="Arial"/>
    </font>
    <font>
      <b/>
      <sz val="9.0"/>
      <color rgb="FF111827"/>
      <name val="Arial"/>
    </font>
    <font>
      <sz val="9.0"/>
      <color rgb="FF111827"/>
      <name val="Arial"/>
    </font>
    <font>
      <b/>
      <sz val="9.0"/>
      <color rgb="FF065F46"/>
      <name val="Arial"/>
    </font>
    <font>
      <b/>
      <sz val="9.0"/>
      <color rgb="FF1E3A5F"/>
      <name val="Arial"/>
    </font>
    <font>
      <sz val="9.0"/>
      <color rgb="FF6B7280"/>
      <name val="Arial"/>
    </font>
    <font>
      <b/>
      <sz val="10.0"/>
      <color rgb="FFFFFFFF"/>
      <name val="Arial"/>
    </font>
    <font>
      <sz val="9.0"/>
      <color rgb="FF1E3A5F"/>
      <name val="Arial"/>
    </font>
    <font>
      <b/>
      <sz val="9.0"/>
      <color rgb="FF92400E"/>
      <name val="Arial"/>
    </font>
    <font>
      <b/>
      <sz val="9.0"/>
      <color rgb="FF7C2D12"/>
      <name val="Arial"/>
    </font>
    <font>
      <sz val="8.0"/>
      <color rgb="FF6B7280"/>
      <name val="Arial"/>
    </font>
    <font>
      <b/>
      <sz val="9.0"/>
      <color rgb="FF7F1D1D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1E3A5F"/>
        <bgColor rgb="FF1E3A5F"/>
      </patternFill>
    </fill>
    <fill>
      <patternFill patternType="solid">
        <fgColor rgb="FFF7F8FC"/>
        <bgColor rgb="FFF7F8FC"/>
      </patternFill>
    </fill>
    <fill>
      <patternFill patternType="solid">
        <fgColor rgb="FFFFFFFF"/>
        <bgColor rgb="FFFFFFFF"/>
      </patternFill>
    </fill>
    <fill>
      <patternFill patternType="solid">
        <fgColor rgb="FFECFDF5"/>
        <bgColor rgb="FFECFDF5"/>
      </patternFill>
    </fill>
    <fill>
      <patternFill patternType="solid">
        <fgColor rgb="FFC7D2FE"/>
        <bgColor rgb="FFC7D2FE"/>
      </patternFill>
    </fill>
    <fill>
      <patternFill patternType="solid">
        <fgColor rgb="FFFFFBEB"/>
        <bgColor rgb="FFFFFBEB"/>
      </patternFill>
    </fill>
    <fill>
      <patternFill patternType="solid">
        <fgColor rgb="FFFFF7ED"/>
        <bgColor rgb="FFFFF7ED"/>
      </patternFill>
    </fill>
    <fill>
      <patternFill patternType="solid">
        <fgColor rgb="FF86EFAC"/>
        <bgColor rgb="FF86EFAC"/>
      </patternFill>
    </fill>
    <fill>
      <patternFill patternType="solid">
        <fgColor rgb="FFFEF2F2"/>
        <bgColor rgb="FFFEF2F2"/>
      </patternFill>
    </fill>
    <fill>
      <patternFill patternType="solid">
        <fgColor rgb="FFFDE68A"/>
        <bgColor rgb="FFFDE68A"/>
      </patternFill>
    </fill>
  </fills>
  <borders count="8">
    <border/>
    <border>
      <left/>
      <top/>
      <bottom/>
    </border>
    <border>
      <top/>
      <bottom/>
    </border>
    <border>
      <right/>
      <top/>
      <bottom/>
    </border>
    <border>
      <left style="thin">
        <color rgb="FFCBD0DF"/>
      </left>
      <right style="thin">
        <color rgb="FFCBD0DF"/>
      </right>
      <top style="thin">
        <color rgb="FFCBD0DF"/>
      </top>
      <bottom style="thin">
        <color rgb="FFCBD0DF"/>
      </bottom>
    </border>
    <border>
      <left style="thin">
        <color rgb="FFCBD0DF"/>
      </left>
      <top style="thin">
        <color rgb="FFCBD0DF"/>
      </top>
      <bottom style="thin">
        <color rgb="FFCBD0DF"/>
      </bottom>
    </border>
    <border>
      <top style="thin">
        <color rgb="FFCBD0DF"/>
      </top>
      <bottom style="thin">
        <color rgb="FFCBD0DF"/>
      </bottom>
    </border>
    <border>
      <right style="thin">
        <color rgb="FFCBD0DF"/>
      </right>
      <top style="thin">
        <color rgb="FFCBD0DF"/>
      </top>
      <bottom style="thin">
        <color rgb="FFCBD0DF"/>
      </bottom>
    </border>
  </borders>
  <cellStyleXfs count="1">
    <xf borderId="0" fillId="0" fontId="0" numFmtId="0" applyAlignment="1" applyFont="1"/>
  </cellStyleXfs>
  <cellXfs count="3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left" vertical="center"/>
    </xf>
    <xf borderId="2" fillId="0" fontId="2" numFmtId="0" xfId="0" applyBorder="1" applyFont="1"/>
    <xf borderId="3" fillId="0" fontId="2" numFmtId="0" xfId="0" applyBorder="1" applyFont="1"/>
    <xf borderId="4" fillId="2" fontId="3" numFmtId="0" xfId="0" applyAlignment="1" applyBorder="1" applyFont="1">
      <alignment horizontal="center" vertical="center"/>
    </xf>
    <xf borderId="4" fillId="3" fontId="4" numFmtId="0" xfId="0" applyAlignment="1" applyBorder="1" applyFill="1" applyFont="1">
      <alignment horizontal="left" vertical="center"/>
    </xf>
    <xf borderId="4" fillId="3" fontId="5" numFmtId="0" xfId="0" applyAlignment="1" applyBorder="1" applyFont="1">
      <alignment horizontal="center" vertical="center"/>
    </xf>
    <xf borderId="4" fillId="4" fontId="4" numFmtId="0" xfId="0" applyAlignment="1" applyBorder="1" applyFill="1" applyFont="1">
      <alignment horizontal="left" vertical="center"/>
    </xf>
    <xf borderId="4" fillId="4" fontId="5" numFmtId="0" xfId="0" applyAlignment="1" applyBorder="1" applyFont="1">
      <alignment horizontal="center" vertical="center"/>
    </xf>
    <xf borderId="4" fillId="5" fontId="6" numFmtId="0" xfId="0" applyAlignment="1" applyBorder="1" applyFill="1" applyFont="1">
      <alignment horizontal="left" vertical="center"/>
    </xf>
    <xf borderId="4" fillId="5" fontId="6" numFmtId="0" xfId="0" applyAlignment="1" applyBorder="1" applyFont="1">
      <alignment horizontal="center" vertical="center"/>
    </xf>
    <xf borderId="1" fillId="6" fontId="7" numFmtId="0" xfId="0" applyBorder="1" applyFill="1" applyFont="1"/>
    <xf borderId="4" fillId="3" fontId="7" numFmtId="0" xfId="0" applyAlignment="1" applyBorder="1" applyFont="1">
      <alignment horizontal="left" vertical="center"/>
    </xf>
    <xf borderId="5" fillId="3" fontId="8" numFmtId="0" xfId="0" applyAlignment="1" applyBorder="1" applyFont="1">
      <alignment horizontal="left" shrinkToFit="0" vertical="center" wrapText="1"/>
    </xf>
    <xf borderId="6" fillId="0" fontId="2" numFmtId="0" xfId="0" applyBorder="1" applyFont="1"/>
    <xf borderId="7" fillId="0" fontId="2" numFmtId="0" xfId="0" applyBorder="1" applyFont="1"/>
    <xf borderId="1" fillId="2" fontId="9" numFmtId="0" xfId="0" applyAlignment="1" applyBorder="1" applyFont="1">
      <alignment horizontal="left" vertical="center"/>
    </xf>
    <xf borderId="1" fillId="6" fontId="10" numFmtId="0" xfId="0" applyAlignment="1" applyBorder="1" applyFont="1">
      <alignment horizontal="left" vertical="center"/>
    </xf>
    <xf borderId="4" fillId="2" fontId="3" numFmtId="0" xfId="0" applyAlignment="1" applyBorder="1" applyFont="1">
      <alignment horizontal="center" shrinkToFit="0" vertical="center" wrapText="1"/>
    </xf>
    <xf borderId="5" fillId="6" fontId="7" numFmtId="0" xfId="0" applyAlignment="1" applyBorder="1" applyFont="1">
      <alignment horizontal="left" vertical="center"/>
    </xf>
    <xf borderId="4" fillId="3" fontId="8" numFmtId="0" xfId="0" applyAlignment="1" applyBorder="1" applyFont="1">
      <alignment horizontal="center" vertical="center"/>
    </xf>
    <xf borderId="4" fillId="3" fontId="8" numFmtId="0" xfId="0" applyAlignment="1" applyBorder="1" applyFont="1">
      <alignment horizontal="left" vertical="center"/>
    </xf>
    <xf borderId="4" fillId="3" fontId="5" numFmtId="0" xfId="0" applyAlignment="1" applyBorder="1" applyFont="1">
      <alignment horizontal="left" vertical="center"/>
    </xf>
    <xf borderId="4" fillId="7" fontId="11" numFmtId="0" xfId="0" applyAlignment="1" applyBorder="1" applyFill="1" applyFont="1">
      <alignment horizontal="center" readingOrder="0" vertical="center"/>
    </xf>
    <xf borderId="4" fillId="4" fontId="8" numFmtId="0" xfId="0" applyAlignment="1" applyBorder="1" applyFont="1">
      <alignment horizontal="center" vertical="center"/>
    </xf>
    <xf borderId="4" fillId="4" fontId="8" numFmtId="0" xfId="0" applyAlignment="1" applyBorder="1" applyFont="1">
      <alignment horizontal="left" vertical="center"/>
    </xf>
    <xf borderId="4" fillId="4" fontId="5" numFmtId="0" xfId="0" applyAlignment="1" applyBorder="1" applyFont="1">
      <alignment horizontal="left" vertical="center"/>
    </xf>
    <xf borderId="4" fillId="7" fontId="11" numFmtId="0" xfId="0" applyAlignment="1" applyBorder="1" applyFont="1">
      <alignment horizontal="center" vertical="center"/>
    </xf>
    <xf borderId="4" fillId="8" fontId="12" numFmtId="0" xfId="0" applyAlignment="1" applyBorder="1" applyFill="1" applyFont="1">
      <alignment horizontal="center" vertical="center"/>
    </xf>
    <xf borderId="5" fillId="3" fontId="13" numFmtId="0" xfId="0" applyAlignment="1" applyBorder="1" applyFont="1">
      <alignment horizontal="left" vertical="center"/>
    </xf>
    <xf borderId="1" fillId="9" fontId="10" numFmtId="0" xfId="0" applyAlignment="1" applyBorder="1" applyFill="1" applyFont="1">
      <alignment horizontal="left" vertical="center"/>
    </xf>
    <xf borderId="5" fillId="9" fontId="7" numFmtId="0" xfId="0" applyAlignment="1" applyBorder="1" applyFont="1">
      <alignment horizontal="left" vertical="center"/>
    </xf>
    <xf borderId="4" fillId="10" fontId="14" numFmtId="0" xfId="0" applyAlignment="1" applyBorder="1" applyFill="1" applyFont="1">
      <alignment horizontal="center" vertical="center"/>
    </xf>
    <xf borderId="1" fillId="11" fontId="10" numFmtId="0" xfId="0" applyAlignment="1" applyBorder="1" applyFill="1" applyFont="1">
      <alignment horizontal="left" vertical="center"/>
    </xf>
    <xf borderId="5" fillId="11" fontId="7" numFmtId="0" xfId="0" applyAlignment="1" applyBorder="1" applyFont="1">
      <alignment horizontal="left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16.0"/>
    <col customWidth="1" min="2" max="2" width="100.0"/>
    <col customWidth="1" min="3" max="4" width="8.0"/>
    <col customWidth="1" min="5" max="5" width="12.0"/>
    <col customWidth="1" min="6" max="6" width="8.0"/>
    <col customWidth="1" min="7" max="7" width="10.0"/>
    <col customWidth="1" min="8" max="26" width="8.71"/>
  </cols>
  <sheetData>
    <row r="1" ht="24.0" customHeight="1">
      <c r="A1" s="1" t="s">
        <v>0</v>
      </c>
      <c r="B1" s="2"/>
      <c r="C1" s="2"/>
      <c r="D1" s="2"/>
      <c r="E1" s="2"/>
      <c r="F1" s="3"/>
    </row>
    <row r="2" ht="18.0" customHeight="1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</row>
    <row r="3" ht="15.75" customHeight="1">
      <c r="A3" s="5" t="s">
        <v>8</v>
      </c>
      <c r="B3" s="6">
        <v>0.1</v>
      </c>
      <c r="C3" s="6">
        <v>25.0</v>
      </c>
      <c r="D3" s="6">
        <v>19.0</v>
      </c>
      <c r="E3" s="6">
        <v>5.0</v>
      </c>
      <c r="F3" s="6">
        <v>1.0</v>
      </c>
      <c r="G3" s="6">
        <v>0.0</v>
      </c>
    </row>
    <row r="4" ht="15.75" customHeight="1">
      <c r="A4" s="7" t="s">
        <v>9</v>
      </c>
      <c r="B4" s="8">
        <v>0.2</v>
      </c>
      <c r="C4" s="8">
        <v>80.0</v>
      </c>
      <c r="D4" s="8">
        <v>20.0</v>
      </c>
      <c r="E4" s="8">
        <v>21.0</v>
      </c>
      <c r="F4" s="8">
        <v>24.0</v>
      </c>
      <c r="G4" s="8">
        <v>15.0</v>
      </c>
    </row>
    <row r="5" ht="15.75" customHeight="1">
      <c r="A5" s="5" t="s">
        <v>10</v>
      </c>
      <c r="B5" s="6">
        <v>0.25</v>
      </c>
      <c r="C5" s="6">
        <v>81.0</v>
      </c>
      <c r="D5" s="6">
        <v>20.0</v>
      </c>
      <c r="E5" s="6">
        <v>24.0</v>
      </c>
      <c r="F5" s="6">
        <v>24.0</v>
      </c>
      <c r="G5" s="6">
        <v>13.0</v>
      </c>
    </row>
    <row r="6" ht="18.0" customHeight="1">
      <c r="A6" s="9" t="s">
        <v>11</v>
      </c>
      <c r="B6" s="10" t="s">
        <v>12</v>
      </c>
      <c r="C6" s="10">
        <v>186.0</v>
      </c>
      <c r="D6" s="10">
        <v>59.0</v>
      </c>
      <c r="E6" s="10">
        <v>50.0</v>
      </c>
      <c r="F6" s="10">
        <v>49.0</v>
      </c>
      <c r="G6" s="10">
        <v>28.0</v>
      </c>
    </row>
    <row r="8" ht="15.75" customHeight="1">
      <c r="A8" s="11" t="s">
        <v>13</v>
      </c>
      <c r="B8" s="2"/>
      <c r="C8" s="2"/>
      <c r="D8" s="2"/>
      <c r="E8" s="2"/>
      <c r="F8" s="3"/>
    </row>
    <row r="9" ht="27.75" customHeight="1">
      <c r="A9" s="12" t="s">
        <v>14</v>
      </c>
      <c r="B9" s="13" t="s">
        <v>15</v>
      </c>
      <c r="C9" s="14"/>
      <c r="D9" s="14"/>
      <c r="E9" s="14"/>
      <c r="F9" s="15"/>
    </row>
    <row r="10" ht="27.75" customHeight="1">
      <c r="A10" s="12" t="s">
        <v>16</v>
      </c>
      <c r="B10" s="13" t="s">
        <v>17</v>
      </c>
      <c r="C10" s="14"/>
      <c r="D10" s="14"/>
      <c r="E10" s="14"/>
      <c r="F10" s="15"/>
    </row>
    <row r="11" ht="27.75" customHeight="1">
      <c r="A11" s="12" t="s">
        <v>18</v>
      </c>
      <c r="B11" s="13" t="s">
        <v>19</v>
      </c>
      <c r="C11" s="14"/>
      <c r="D11" s="14"/>
      <c r="E11" s="14"/>
      <c r="F11" s="15"/>
    </row>
    <row r="12" ht="27.75" customHeight="1">
      <c r="A12" s="12" t="s">
        <v>20</v>
      </c>
      <c r="B12" s="13" t="s">
        <v>21</v>
      </c>
      <c r="C12" s="14"/>
      <c r="D12" s="14"/>
      <c r="E12" s="14"/>
      <c r="F12" s="15"/>
    </row>
    <row r="13" ht="27.75" customHeight="1">
      <c r="A13" s="12" t="s">
        <v>22</v>
      </c>
      <c r="B13" s="13" t="s">
        <v>23</v>
      </c>
      <c r="C13" s="14"/>
      <c r="D13" s="14"/>
      <c r="E13" s="14"/>
      <c r="F13" s="15"/>
    </row>
    <row r="14" ht="27.75" customHeight="1">
      <c r="A14" s="12" t="s">
        <v>24</v>
      </c>
      <c r="B14" s="13" t="s">
        <v>25</v>
      </c>
      <c r="C14" s="14"/>
      <c r="D14" s="14"/>
      <c r="E14" s="14"/>
      <c r="F14" s="15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8">
    <mergeCell ref="A1:F1"/>
    <mergeCell ref="A8:F8"/>
    <mergeCell ref="B9:F9"/>
    <mergeCell ref="B10:F10"/>
    <mergeCell ref="B11:F11"/>
    <mergeCell ref="B12:F12"/>
    <mergeCell ref="B13:F13"/>
    <mergeCell ref="B14:F14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5.0"/>
    <col customWidth="1" min="2" max="2" width="34.0"/>
    <col customWidth="1" min="3" max="3" width="26.0"/>
    <col customWidth="1" min="4" max="4" width="32.0"/>
    <col customWidth="1" min="5" max="5" width="14.0"/>
    <col customWidth="1" min="6" max="6" width="38.0"/>
    <col customWidth="1" min="7" max="7" width="28.0"/>
    <col customWidth="1" min="8" max="8" width="52.0"/>
    <col customWidth="1" min="9" max="9" width="10.0"/>
    <col customWidth="1" min="10" max="10" width="14.0"/>
    <col customWidth="1" min="11" max="11" width="18.0"/>
    <col customWidth="1" min="12" max="12" width="10.0"/>
    <col customWidth="1" min="13" max="26" width="8.71"/>
  </cols>
  <sheetData>
    <row r="1" ht="21.75" customHeight="1">
      <c r="A1" s="16" t="s">
        <v>26</v>
      </c>
      <c r="B1" s="2"/>
      <c r="C1" s="2"/>
      <c r="D1" s="2"/>
      <c r="E1" s="2"/>
      <c r="F1" s="2"/>
      <c r="G1" s="2"/>
      <c r="H1" s="2"/>
      <c r="I1" s="2"/>
      <c r="J1" s="2"/>
      <c r="K1" s="2"/>
      <c r="L1" s="3"/>
    </row>
    <row r="2" ht="15.75" customHeight="1">
      <c r="A2" s="17" t="s">
        <v>27</v>
      </c>
      <c r="B2" s="2"/>
      <c r="C2" s="2"/>
      <c r="D2" s="2"/>
      <c r="E2" s="2"/>
      <c r="F2" s="2"/>
      <c r="G2" s="2"/>
      <c r="H2" s="2"/>
      <c r="I2" s="2"/>
      <c r="J2" s="2"/>
      <c r="K2" s="2"/>
      <c r="L2" s="3"/>
    </row>
    <row r="3" ht="27.75" customHeight="1">
      <c r="A3" s="18" t="s">
        <v>28</v>
      </c>
      <c r="B3" s="18" t="s">
        <v>29</v>
      </c>
      <c r="C3" s="18" t="s">
        <v>30</v>
      </c>
      <c r="D3" s="18" t="s">
        <v>31</v>
      </c>
      <c r="E3" s="18" t="s">
        <v>32</v>
      </c>
      <c r="F3" s="18" t="s">
        <v>33</v>
      </c>
      <c r="G3" s="18" t="s">
        <v>34</v>
      </c>
      <c r="H3" s="18" t="s">
        <v>35</v>
      </c>
      <c r="I3" s="18" t="s">
        <v>36</v>
      </c>
      <c r="J3" s="18" t="s">
        <v>37</v>
      </c>
      <c r="K3" s="18" t="s">
        <v>38</v>
      </c>
      <c r="L3" s="18" t="s">
        <v>39</v>
      </c>
    </row>
    <row r="4" ht="15.0" customHeight="1">
      <c r="A4" s="19" t="s">
        <v>40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5"/>
    </row>
    <row r="5" ht="15.0" customHeight="1">
      <c r="A5" s="20">
        <v>1.0</v>
      </c>
      <c r="B5" s="21" t="s">
        <v>40</v>
      </c>
      <c r="C5" s="22" t="s">
        <v>41</v>
      </c>
      <c r="D5" s="22" t="s">
        <v>42</v>
      </c>
      <c r="E5" s="6" t="s">
        <v>43</v>
      </c>
      <c r="F5" s="22" t="s">
        <v>44</v>
      </c>
      <c r="G5" s="22" t="s">
        <v>45</v>
      </c>
      <c r="H5" s="22" t="s">
        <v>46</v>
      </c>
      <c r="I5" s="20" t="s">
        <v>47</v>
      </c>
      <c r="J5" s="10" t="s">
        <v>4</v>
      </c>
      <c r="K5" s="23" t="s">
        <v>4</v>
      </c>
      <c r="L5" s="20" t="str">
        <f t="shared" ref="L5:L7" si="1">IF(K5="","—",IF(J5=K5,"MATCH","MISMATCH"))</f>
        <v>MATCH</v>
      </c>
    </row>
    <row r="6" ht="15.0" customHeight="1">
      <c r="A6" s="24">
        <v>2.0</v>
      </c>
      <c r="B6" s="25" t="s">
        <v>40</v>
      </c>
      <c r="C6" s="26" t="s">
        <v>41</v>
      </c>
      <c r="D6" s="26" t="s">
        <v>42</v>
      </c>
      <c r="E6" s="8" t="s">
        <v>43</v>
      </c>
      <c r="F6" s="26" t="s">
        <v>48</v>
      </c>
      <c r="G6" s="26" t="s">
        <v>45</v>
      </c>
      <c r="H6" s="26" t="s">
        <v>46</v>
      </c>
      <c r="I6" s="24" t="s">
        <v>47</v>
      </c>
      <c r="J6" s="10" t="s">
        <v>4</v>
      </c>
      <c r="K6" s="23" t="s">
        <v>4</v>
      </c>
      <c r="L6" s="24" t="str">
        <f t="shared" si="1"/>
        <v>MATCH</v>
      </c>
    </row>
    <row r="7" ht="15.0" customHeight="1">
      <c r="A7" s="20">
        <v>3.0</v>
      </c>
      <c r="B7" s="21" t="s">
        <v>40</v>
      </c>
      <c r="C7" s="22" t="s">
        <v>41</v>
      </c>
      <c r="D7" s="22" t="s">
        <v>42</v>
      </c>
      <c r="E7" s="6" t="s">
        <v>43</v>
      </c>
      <c r="F7" s="22" t="s">
        <v>49</v>
      </c>
      <c r="G7" s="22" t="s">
        <v>45</v>
      </c>
      <c r="H7" s="22" t="s">
        <v>46</v>
      </c>
      <c r="I7" s="20" t="s">
        <v>47</v>
      </c>
      <c r="J7" s="10" t="s">
        <v>4</v>
      </c>
      <c r="K7" s="23" t="s">
        <v>4</v>
      </c>
      <c r="L7" s="20" t="str">
        <f t="shared" si="1"/>
        <v>MATCH</v>
      </c>
    </row>
    <row r="9" ht="15.0" customHeight="1">
      <c r="A9" s="19" t="s">
        <v>50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5"/>
    </row>
    <row r="10" ht="15.0" customHeight="1">
      <c r="A10" s="24">
        <v>4.0</v>
      </c>
      <c r="B10" s="25" t="s">
        <v>50</v>
      </c>
      <c r="C10" s="26" t="s">
        <v>51</v>
      </c>
      <c r="D10" s="26" t="s">
        <v>52</v>
      </c>
      <c r="E10" s="8" t="s">
        <v>43</v>
      </c>
      <c r="F10" s="26" t="s">
        <v>44</v>
      </c>
      <c r="G10" s="26" t="s">
        <v>45</v>
      </c>
      <c r="H10" s="26" t="s">
        <v>53</v>
      </c>
      <c r="I10" s="24" t="s">
        <v>47</v>
      </c>
      <c r="J10" s="10" t="s">
        <v>4</v>
      </c>
      <c r="K10" s="23" t="s">
        <v>4</v>
      </c>
      <c r="L10" s="24" t="str">
        <f t="shared" ref="L10:L11" si="2">IF(K10="","—",IF(J10=K10,"MATCH","MISMATCH"))</f>
        <v>MATCH</v>
      </c>
    </row>
    <row r="11" ht="15.0" customHeight="1">
      <c r="A11" s="20">
        <v>5.0</v>
      </c>
      <c r="B11" s="21" t="s">
        <v>50</v>
      </c>
      <c r="C11" s="22" t="s">
        <v>51</v>
      </c>
      <c r="D11" s="22" t="s">
        <v>52</v>
      </c>
      <c r="E11" s="6" t="s">
        <v>43</v>
      </c>
      <c r="F11" s="22" t="s">
        <v>54</v>
      </c>
      <c r="G11" s="22" t="s">
        <v>45</v>
      </c>
      <c r="H11" s="22" t="s">
        <v>53</v>
      </c>
      <c r="I11" s="20" t="s">
        <v>47</v>
      </c>
      <c r="J11" s="10" t="s">
        <v>4</v>
      </c>
      <c r="K11" s="23" t="s">
        <v>4</v>
      </c>
      <c r="L11" s="20" t="str">
        <f t="shared" si="2"/>
        <v>MATCH</v>
      </c>
    </row>
    <row r="13" ht="15.0" customHeight="1">
      <c r="A13" s="19" t="s">
        <v>55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5"/>
    </row>
    <row r="14" ht="15.0" customHeight="1">
      <c r="A14" s="24">
        <v>6.0</v>
      </c>
      <c r="B14" s="25" t="s">
        <v>55</v>
      </c>
      <c r="C14" s="26" t="s">
        <v>41</v>
      </c>
      <c r="D14" s="26" t="s">
        <v>42</v>
      </c>
      <c r="E14" s="8" t="s">
        <v>43</v>
      </c>
      <c r="F14" s="26" t="s">
        <v>44</v>
      </c>
      <c r="G14" s="26" t="s">
        <v>45</v>
      </c>
      <c r="H14" s="26" t="s">
        <v>56</v>
      </c>
      <c r="I14" s="24" t="s">
        <v>47</v>
      </c>
      <c r="J14" s="10" t="s">
        <v>4</v>
      </c>
      <c r="K14" s="23" t="s">
        <v>4</v>
      </c>
      <c r="L14" s="24" t="str">
        <f t="shared" ref="L14:L16" si="3">IF(K14="","—",IF(J14=K14,"MATCH","MISMATCH"))</f>
        <v>MATCH</v>
      </c>
    </row>
    <row r="15" ht="15.0" customHeight="1">
      <c r="A15" s="20">
        <v>7.0</v>
      </c>
      <c r="B15" s="21" t="s">
        <v>55</v>
      </c>
      <c r="C15" s="22" t="s">
        <v>41</v>
      </c>
      <c r="D15" s="22" t="s">
        <v>42</v>
      </c>
      <c r="E15" s="6" t="s">
        <v>43</v>
      </c>
      <c r="F15" s="22" t="s">
        <v>48</v>
      </c>
      <c r="G15" s="22" t="s">
        <v>45</v>
      </c>
      <c r="H15" s="22" t="s">
        <v>56</v>
      </c>
      <c r="I15" s="20" t="s">
        <v>47</v>
      </c>
      <c r="J15" s="10" t="s">
        <v>4</v>
      </c>
      <c r="K15" s="23" t="s">
        <v>4</v>
      </c>
      <c r="L15" s="20" t="str">
        <f t="shared" si="3"/>
        <v>MATCH</v>
      </c>
    </row>
    <row r="16" ht="15.0" customHeight="1">
      <c r="A16" s="24">
        <v>8.0</v>
      </c>
      <c r="B16" s="25" t="s">
        <v>55</v>
      </c>
      <c r="C16" s="26" t="s">
        <v>41</v>
      </c>
      <c r="D16" s="26" t="s">
        <v>42</v>
      </c>
      <c r="E16" s="8" t="s">
        <v>43</v>
      </c>
      <c r="F16" s="26" t="s">
        <v>57</v>
      </c>
      <c r="G16" s="26" t="s">
        <v>45</v>
      </c>
      <c r="H16" s="26" t="s">
        <v>56</v>
      </c>
      <c r="I16" s="24" t="s">
        <v>47</v>
      </c>
      <c r="J16" s="10" t="s">
        <v>4</v>
      </c>
      <c r="K16" s="23" t="s">
        <v>4</v>
      </c>
      <c r="L16" s="24" t="str">
        <f t="shared" si="3"/>
        <v>MATCH</v>
      </c>
    </row>
    <row r="18" ht="15.0" customHeight="1">
      <c r="A18" s="19" t="s">
        <v>58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5"/>
    </row>
    <row r="19" ht="15.0" customHeight="1">
      <c r="A19" s="20">
        <v>9.0</v>
      </c>
      <c r="B19" s="21" t="s">
        <v>58</v>
      </c>
      <c r="C19" s="22" t="s">
        <v>41</v>
      </c>
      <c r="D19" s="22" t="s">
        <v>42</v>
      </c>
      <c r="E19" s="6" t="s">
        <v>43</v>
      </c>
      <c r="F19" s="22" t="s">
        <v>44</v>
      </c>
      <c r="G19" s="22" t="s">
        <v>45</v>
      </c>
      <c r="H19" s="22" t="s">
        <v>59</v>
      </c>
      <c r="I19" s="20" t="s">
        <v>60</v>
      </c>
      <c r="J19" s="10" t="s">
        <v>4</v>
      </c>
      <c r="K19" s="23" t="s">
        <v>4</v>
      </c>
      <c r="L19" s="20" t="str">
        <f t="shared" ref="L19:L21" si="4">IF(K19="","—",IF(J19=K19,"MATCH","MISMATCH"))</f>
        <v>MATCH</v>
      </c>
    </row>
    <row r="20" ht="15.0" customHeight="1">
      <c r="A20" s="24">
        <v>10.0</v>
      </c>
      <c r="B20" s="25" t="s">
        <v>58</v>
      </c>
      <c r="C20" s="26" t="s">
        <v>41</v>
      </c>
      <c r="D20" s="26" t="s">
        <v>42</v>
      </c>
      <c r="E20" s="8" t="s">
        <v>43</v>
      </c>
      <c r="F20" s="26" t="s">
        <v>48</v>
      </c>
      <c r="G20" s="26" t="s">
        <v>45</v>
      </c>
      <c r="H20" s="26" t="s">
        <v>59</v>
      </c>
      <c r="I20" s="24" t="s">
        <v>60</v>
      </c>
      <c r="J20" s="10" t="s">
        <v>4</v>
      </c>
      <c r="K20" s="23" t="s">
        <v>4</v>
      </c>
      <c r="L20" s="24" t="str">
        <f t="shared" si="4"/>
        <v>MATCH</v>
      </c>
    </row>
    <row r="21" ht="15.0" customHeight="1">
      <c r="A21" s="20">
        <v>11.0</v>
      </c>
      <c r="B21" s="21" t="s">
        <v>58</v>
      </c>
      <c r="C21" s="22" t="s">
        <v>41</v>
      </c>
      <c r="D21" s="22" t="s">
        <v>42</v>
      </c>
      <c r="E21" s="6" t="s">
        <v>43</v>
      </c>
      <c r="F21" s="22" t="s">
        <v>49</v>
      </c>
      <c r="G21" s="22" t="s">
        <v>45</v>
      </c>
      <c r="H21" s="22" t="s">
        <v>59</v>
      </c>
      <c r="I21" s="20" t="s">
        <v>60</v>
      </c>
      <c r="J21" s="10" t="s">
        <v>4</v>
      </c>
      <c r="K21" s="23" t="s">
        <v>4</v>
      </c>
      <c r="L21" s="20" t="str">
        <f t="shared" si="4"/>
        <v>MATCH</v>
      </c>
    </row>
    <row r="22" ht="15.75" customHeight="1"/>
    <row r="23" ht="15.0" customHeight="1">
      <c r="A23" s="19" t="s">
        <v>61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5"/>
    </row>
    <row r="24" ht="15.0" customHeight="1">
      <c r="A24" s="24">
        <v>12.0</v>
      </c>
      <c r="B24" s="25" t="s">
        <v>61</v>
      </c>
      <c r="C24" s="26" t="s">
        <v>41</v>
      </c>
      <c r="D24" s="26" t="s">
        <v>42</v>
      </c>
      <c r="E24" s="8" t="s">
        <v>43</v>
      </c>
      <c r="F24" s="26" t="s">
        <v>44</v>
      </c>
      <c r="G24" s="26" t="s">
        <v>62</v>
      </c>
      <c r="H24" s="26" t="s">
        <v>63</v>
      </c>
      <c r="I24" s="24" t="s">
        <v>64</v>
      </c>
      <c r="J24" s="10" t="s">
        <v>4</v>
      </c>
      <c r="K24" s="23" t="s">
        <v>4</v>
      </c>
      <c r="L24" s="24" t="str">
        <f t="shared" ref="L24:L26" si="5">IF(K24="","—",IF(J24=K24,"MATCH","MISMATCH"))</f>
        <v>MATCH</v>
      </c>
    </row>
    <row r="25" ht="15.0" customHeight="1">
      <c r="A25" s="20">
        <v>13.0</v>
      </c>
      <c r="B25" s="21" t="s">
        <v>61</v>
      </c>
      <c r="C25" s="22" t="s">
        <v>41</v>
      </c>
      <c r="D25" s="22" t="s">
        <v>42</v>
      </c>
      <c r="E25" s="6" t="s">
        <v>43</v>
      </c>
      <c r="F25" s="22" t="s">
        <v>48</v>
      </c>
      <c r="G25" s="22" t="s">
        <v>62</v>
      </c>
      <c r="H25" s="22" t="s">
        <v>63</v>
      </c>
      <c r="I25" s="20" t="s">
        <v>64</v>
      </c>
      <c r="J25" s="10" t="s">
        <v>4</v>
      </c>
      <c r="K25" s="23" t="s">
        <v>4</v>
      </c>
      <c r="L25" s="20" t="str">
        <f t="shared" si="5"/>
        <v>MATCH</v>
      </c>
    </row>
    <row r="26" ht="15.0" customHeight="1">
      <c r="A26" s="24">
        <v>14.0</v>
      </c>
      <c r="B26" s="25" t="s">
        <v>61</v>
      </c>
      <c r="C26" s="26" t="s">
        <v>41</v>
      </c>
      <c r="D26" s="26" t="s">
        <v>42</v>
      </c>
      <c r="E26" s="8" t="s">
        <v>43</v>
      </c>
      <c r="F26" s="26" t="s">
        <v>49</v>
      </c>
      <c r="G26" s="26" t="s">
        <v>62</v>
      </c>
      <c r="H26" s="26" t="s">
        <v>63</v>
      </c>
      <c r="I26" s="24" t="s">
        <v>64</v>
      </c>
      <c r="J26" s="10" t="s">
        <v>4</v>
      </c>
      <c r="K26" s="23" t="s">
        <v>4</v>
      </c>
      <c r="L26" s="24" t="str">
        <f t="shared" si="5"/>
        <v>MATCH</v>
      </c>
    </row>
    <row r="27" ht="15.75" customHeight="1"/>
    <row r="28" ht="15.0" customHeight="1">
      <c r="A28" s="19" t="s">
        <v>65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5"/>
    </row>
    <row r="29" ht="15.0" customHeight="1">
      <c r="A29" s="20">
        <v>15.0</v>
      </c>
      <c r="B29" s="21" t="s">
        <v>65</v>
      </c>
      <c r="C29" s="22" t="s">
        <v>41</v>
      </c>
      <c r="D29" s="22" t="s">
        <v>42</v>
      </c>
      <c r="E29" s="6" t="s">
        <v>66</v>
      </c>
      <c r="F29" s="22" t="s">
        <v>67</v>
      </c>
      <c r="G29" s="22" t="s">
        <v>62</v>
      </c>
      <c r="H29" s="22" t="s">
        <v>68</v>
      </c>
      <c r="I29" s="20" t="s">
        <v>64</v>
      </c>
      <c r="J29" s="27" t="s">
        <v>5</v>
      </c>
      <c r="K29" s="23" t="s">
        <v>5</v>
      </c>
      <c r="L29" s="20" t="str">
        <f t="shared" ref="L29:L30" si="6">IF(K29="","—",IF(J29=K29,"MATCH","MISMATCH"))</f>
        <v>MATCH</v>
      </c>
    </row>
    <row r="30" ht="15.0" customHeight="1">
      <c r="A30" s="24">
        <v>16.0</v>
      </c>
      <c r="B30" s="25" t="s">
        <v>65</v>
      </c>
      <c r="C30" s="26" t="s">
        <v>41</v>
      </c>
      <c r="D30" s="26" t="s">
        <v>42</v>
      </c>
      <c r="E30" s="8" t="s">
        <v>66</v>
      </c>
      <c r="F30" s="26" t="s">
        <v>69</v>
      </c>
      <c r="G30" s="26" t="s">
        <v>62</v>
      </c>
      <c r="H30" s="26" t="s">
        <v>68</v>
      </c>
      <c r="I30" s="24" t="s">
        <v>64</v>
      </c>
      <c r="J30" s="27" t="s">
        <v>5</v>
      </c>
      <c r="K30" s="23" t="s">
        <v>5</v>
      </c>
      <c r="L30" s="24" t="str">
        <f t="shared" si="6"/>
        <v>MATCH</v>
      </c>
    </row>
    <row r="31" ht="15.75" customHeight="1"/>
    <row r="32" ht="15.0" customHeight="1">
      <c r="A32" s="19" t="s">
        <v>70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5"/>
    </row>
    <row r="33" ht="15.0" customHeight="1">
      <c r="A33" s="20">
        <v>17.0</v>
      </c>
      <c r="B33" s="21" t="s">
        <v>70</v>
      </c>
      <c r="C33" s="22" t="s">
        <v>41</v>
      </c>
      <c r="D33" s="22" t="s">
        <v>42</v>
      </c>
      <c r="E33" s="6" t="s">
        <v>66</v>
      </c>
      <c r="F33" s="22" t="s">
        <v>67</v>
      </c>
      <c r="G33" s="22" t="s">
        <v>62</v>
      </c>
      <c r="H33" s="22" t="s">
        <v>63</v>
      </c>
      <c r="I33" s="20" t="s">
        <v>64</v>
      </c>
      <c r="J33" s="10" t="s">
        <v>4</v>
      </c>
      <c r="K33" s="23" t="s">
        <v>5</v>
      </c>
      <c r="L33" s="20" t="str">
        <f t="shared" ref="L33:L34" si="7">IF(K33="","—",IF(J33=K33,"MATCH","MISMATCH"))</f>
        <v>MISMATCH</v>
      </c>
    </row>
    <row r="34" ht="15.0" customHeight="1">
      <c r="A34" s="24">
        <v>18.0</v>
      </c>
      <c r="B34" s="25" t="s">
        <v>70</v>
      </c>
      <c r="C34" s="26" t="s">
        <v>41</v>
      </c>
      <c r="D34" s="26" t="s">
        <v>42</v>
      </c>
      <c r="E34" s="8" t="s">
        <v>66</v>
      </c>
      <c r="F34" s="26" t="s">
        <v>69</v>
      </c>
      <c r="G34" s="26" t="s">
        <v>62</v>
      </c>
      <c r="H34" s="26" t="s">
        <v>71</v>
      </c>
      <c r="I34" s="24" t="s">
        <v>64</v>
      </c>
      <c r="J34" s="10" t="s">
        <v>4</v>
      </c>
      <c r="K34" s="23" t="s">
        <v>5</v>
      </c>
      <c r="L34" s="24" t="str">
        <f t="shared" si="7"/>
        <v>MISMATCH</v>
      </c>
    </row>
    <row r="35" ht="15.75" customHeight="1"/>
    <row r="36" ht="15.0" customHeight="1">
      <c r="A36" s="19" t="s">
        <v>72</v>
      </c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15"/>
    </row>
    <row r="37" ht="15.0" customHeight="1">
      <c r="A37" s="20">
        <v>19.0</v>
      </c>
      <c r="B37" s="21" t="s">
        <v>72</v>
      </c>
      <c r="C37" s="22" t="s">
        <v>41</v>
      </c>
      <c r="D37" s="22" t="s">
        <v>42</v>
      </c>
      <c r="E37" s="6" t="s">
        <v>66</v>
      </c>
      <c r="F37" s="22" t="s">
        <v>67</v>
      </c>
      <c r="G37" s="22" t="s">
        <v>62</v>
      </c>
      <c r="H37" s="22" t="s">
        <v>73</v>
      </c>
      <c r="I37" s="20" t="s">
        <v>64</v>
      </c>
      <c r="J37" s="28" t="s">
        <v>6</v>
      </c>
      <c r="K37" s="23" t="s">
        <v>6</v>
      </c>
      <c r="L37" s="20" t="str">
        <f>IF(K37="","—",IF(J37=K37,"MATCH","MISMATCH"))</f>
        <v>MATCH</v>
      </c>
    </row>
    <row r="38" ht="15.75" customHeight="1"/>
    <row r="39" ht="15.0" customHeight="1">
      <c r="A39" s="19" t="s">
        <v>74</v>
      </c>
      <c r="B39" s="14"/>
      <c r="C39" s="14"/>
      <c r="D39" s="14"/>
      <c r="E39" s="14"/>
      <c r="F39" s="14"/>
      <c r="G39" s="14"/>
      <c r="H39" s="14"/>
      <c r="I39" s="14"/>
      <c r="J39" s="14"/>
      <c r="K39" s="14"/>
      <c r="L39" s="15"/>
    </row>
    <row r="40" ht="15.0" customHeight="1">
      <c r="A40" s="24">
        <v>20.0</v>
      </c>
      <c r="B40" s="25" t="s">
        <v>74</v>
      </c>
      <c r="C40" s="26" t="s">
        <v>75</v>
      </c>
      <c r="D40" s="26" t="s">
        <v>76</v>
      </c>
      <c r="E40" s="8" t="s">
        <v>66</v>
      </c>
      <c r="F40" s="26" t="s">
        <v>67</v>
      </c>
      <c r="G40" s="26" t="s">
        <v>62</v>
      </c>
      <c r="H40" s="26" t="s">
        <v>63</v>
      </c>
      <c r="I40" s="24" t="s">
        <v>64</v>
      </c>
      <c r="J40" s="10" t="s">
        <v>4</v>
      </c>
      <c r="K40" s="23" t="s">
        <v>4</v>
      </c>
      <c r="L40" s="24" t="str">
        <f t="shared" ref="L40:L42" si="8">IF(K40="","—",IF(J40=K40,"MATCH","MISMATCH"))</f>
        <v>MATCH</v>
      </c>
    </row>
    <row r="41" ht="15.0" customHeight="1">
      <c r="A41" s="20">
        <v>21.0</v>
      </c>
      <c r="B41" s="21" t="s">
        <v>74</v>
      </c>
      <c r="C41" s="22" t="s">
        <v>75</v>
      </c>
      <c r="D41" s="22" t="s">
        <v>76</v>
      </c>
      <c r="E41" s="6" t="s">
        <v>66</v>
      </c>
      <c r="F41" s="22" t="s">
        <v>69</v>
      </c>
      <c r="G41" s="22" t="s">
        <v>62</v>
      </c>
      <c r="H41" s="22" t="s">
        <v>63</v>
      </c>
      <c r="I41" s="20" t="s">
        <v>64</v>
      </c>
      <c r="J41" s="10" t="s">
        <v>4</v>
      </c>
      <c r="K41" s="23" t="s">
        <v>4</v>
      </c>
      <c r="L41" s="20" t="str">
        <f t="shared" si="8"/>
        <v>MATCH</v>
      </c>
    </row>
    <row r="42" ht="15.0" customHeight="1">
      <c r="A42" s="24">
        <v>22.0</v>
      </c>
      <c r="B42" s="25" t="s">
        <v>74</v>
      </c>
      <c r="C42" s="26" t="s">
        <v>51</v>
      </c>
      <c r="D42" s="26" t="s">
        <v>52</v>
      </c>
      <c r="E42" s="8" t="s">
        <v>66</v>
      </c>
      <c r="F42" s="26" t="s">
        <v>67</v>
      </c>
      <c r="G42" s="26" t="s">
        <v>62</v>
      </c>
      <c r="H42" s="26" t="s">
        <v>63</v>
      </c>
      <c r="I42" s="24" t="s">
        <v>64</v>
      </c>
      <c r="J42" s="10" t="s">
        <v>4</v>
      </c>
      <c r="K42" s="23" t="s">
        <v>4</v>
      </c>
      <c r="L42" s="24" t="str">
        <f t="shared" si="8"/>
        <v>MATCH</v>
      </c>
    </row>
    <row r="43" ht="15.75" customHeight="1"/>
    <row r="44" ht="15.0" customHeight="1">
      <c r="A44" s="19" t="s">
        <v>77</v>
      </c>
      <c r="B44" s="14"/>
      <c r="C44" s="14"/>
      <c r="D44" s="14"/>
      <c r="E44" s="14"/>
      <c r="F44" s="14"/>
      <c r="G44" s="14"/>
      <c r="H44" s="14"/>
      <c r="I44" s="14"/>
      <c r="J44" s="14"/>
      <c r="K44" s="14"/>
      <c r="L44" s="15"/>
    </row>
    <row r="45" ht="15.0" customHeight="1">
      <c r="A45" s="20">
        <v>23.0</v>
      </c>
      <c r="B45" s="21" t="s">
        <v>77</v>
      </c>
      <c r="C45" s="22" t="s">
        <v>41</v>
      </c>
      <c r="D45" s="22" t="s">
        <v>42</v>
      </c>
      <c r="E45" s="6" t="s">
        <v>43</v>
      </c>
      <c r="F45" s="22" t="s">
        <v>44</v>
      </c>
      <c r="G45" s="22" t="s">
        <v>62</v>
      </c>
      <c r="H45" s="22" t="s">
        <v>73</v>
      </c>
      <c r="I45" s="20" t="s">
        <v>64</v>
      </c>
      <c r="J45" s="27" t="s">
        <v>5</v>
      </c>
      <c r="K45" s="23" t="s">
        <v>5</v>
      </c>
      <c r="L45" s="20" t="str">
        <f t="shared" ref="L45:L47" si="9">IF(K45="","—",IF(J45=K45,"MATCH","MISMATCH"))</f>
        <v>MATCH</v>
      </c>
    </row>
    <row r="46" ht="15.0" customHeight="1">
      <c r="A46" s="24">
        <v>24.0</v>
      </c>
      <c r="B46" s="25" t="s">
        <v>77</v>
      </c>
      <c r="C46" s="26" t="s">
        <v>41</v>
      </c>
      <c r="D46" s="26" t="s">
        <v>42</v>
      </c>
      <c r="E46" s="8" t="s">
        <v>43</v>
      </c>
      <c r="F46" s="26" t="s">
        <v>48</v>
      </c>
      <c r="G46" s="26" t="s">
        <v>62</v>
      </c>
      <c r="H46" s="26" t="s">
        <v>73</v>
      </c>
      <c r="I46" s="24" t="s">
        <v>64</v>
      </c>
      <c r="J46" s="27" t="s">
        <v>5</v>
      </c>
      <c r="K46" s="23" t="s">
        <v>5</v>
      </c>
      <c r="L46" s="24" t="str">
        <f t="shared" si="9"/>
        <v>MATCH</v>
      </c>
    </row>
    <row r="47" ht="15.0" customHeight="1">
      <c r="A47" s="20">
        <v>25.0</v>
      </c>
      <c r="B47" s="21" t="s">
        <v>77</v>
      </c>
      <c r="C47" s="22" t="s">
        <v>41</v>
      </c>
      <c r="D47" s="22" t="s">
        <v>42</v>
      </c>
      <c r="E47" s="6" t="s">
        <v>43</v>
      </c>
      <c r="F47" s="22" t="s">
        <v>49</v>
      </c>
      <c r="G47" s="22" t="s">
        <v>62</v>
      </c>
      <c r="H47" s="22" t="s">
        <v>73</v>
      </c>
      <c r="I47" s="20" t="s">
        <v>64</v>
      </c>
      <c r="J47" s="27" t="s">
        <v>5</v>
      </c>
      <c r="K47" s="23" t="s">
        <v>5</v>
      </c>
      <c r="L47" s="20" t="str">
        <f t="shared" si="9"/>
        <v>MATCH</v>
      </c>
    </row>
    <row r="48" ht="15.75" customHeight="1"/>
    <row r="49" ht="13.5" customHeight="1">
      <c r="A49" s="29" t="s">
        <v>78</v>
      </c>
      <c r="B49" s="14"/>
      <c r="C49" s="14"/>
      <c r="D49" s="14"/>
      <c r="E49" s="14"/>
      <c r="F49" s="14"/>
      <c r="G49" s="14"/>
      <c r="H49" s="14"/>
      <c r="I49" s="14"/>
      <c r="J49" s="14"/>
      <c r="K49" s="14"/>
      <c r="L49" s="15"/>
    </row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3">
    <mergeCell ref="A28:L28"/>
    <mergeCell ref="A32:L32"/>
    <mergeCell ref="A36:L36"/>
    <mergeCell ref="A39:L39"/>
    <mergeCell ref="A44:L44"/>
    <mergeCell ref="A49:L49"/>
    <mergeCell ref="A1:L1"/>
    <mergeCell ref="A2:L2"/>
    <mergeCell ref="A4:L4"/>
    <mergeCell ref="A9:L9"/>
    <mergeCell ref="A13:L13"/>
    <mergeCell ref="A18:L18"/>
    <mergeCell ref="A23:L23"/>
  </mergeCell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5.0"/>
    <col customWidth="1" min="2" max="2" width="34.0"/>
    <col customWidth="1" min="3" max="3" width="26.0"/>
    <col customWidth="1" min="4" max="4" width="32.0"/>
    <col customWidth="1" min="5" max="5" width="14.0"/>
    <col customWidth="1" min="6" max="6" width="38.0"/>
    <col customWidth="1" min="7" max="7" width="28.0"/>
    <col customWidth="1" min="8" max="8" width="52.0"/>
    <col customWidth="1" min="9" max="9" width="10.0"/>
    <col customWidth="1" min="10" max="10" width="14.0"/>
    <col customWidth="1" min="11" max="11" width="18.0"/>
    <col customWidth="1" min="12" max="12" width="10.0"/>
    <col customWidth="1" min="13" max="26" width="8.71"/>
  </cols>
  <sheetData>
    <row r="1" ht="21.75" customHeight="1">
      <c r="A1" s="16" t="s">
        <v>79</v>
      </c>
      <c r="B1" s="2"/>
      <c r="C1" s="2"/>
      <c r="D1" s="2"/>
      <c r="E1" s="2"/>
      <c r="F1" s="2"/>
      <c r="G1" s="2"/>
      <c r="H1" s="2"/>
      <c r="I1" s="2"/>
      <c r="J1" s="2"/>
      <c r="K1" s="2"/>
      <c r="L1" s="3"/>
    </row>
    <row r="2" ht="15.75" customHeight="1">
      <c r="A2" s="30" t="s">
        <v>80</v>
      </c>
      <c r="B2" s="2"/>
      <c r="C2" s="2"/>
      <c r="D2" s="2"/>
      <c r="E2" s="2"/>
      <c r="F2" s="2"/>
      <c r="G2" s="2"/>
      <c r="H2" s="2"/>
      <c r="I2" s="2"/>
      <c r="J2" s="2"/>
      <c r="K2" s="2"/>
      <c r="L2" s="3"/>
    </row>
    <row r="3" ht="27.75" customHeight="1">
      <c r="A3" s="18" t="s">
        <v>28</v>
      </c>
      <c r="B3" s="18" t="s">
        <v>29</v>
      </c>
      <c r="C3" s="18" t="s">
        <v>30</v>
      </c>
      <c r="D3" s="18" t="s">
        <v>31</v>
      </c>
      <c r="E3" s="18" t="s">
        <v>32</v>
      </c>
      <c r="F3" s="18" t="s">
        <v>33</v>
      </c>
      <c r="G3" s="18" t="s">
        <v>34</v>
      </c>
      <c r="H3" s="18" t="s">
        <v>35</v>
      </c>
      <c r="I3" s="18" t="s">
        <v>36</v>
      </c>
      <c r="J3" s="18" t="s">
        <v>37</v>
      </c>
      <c r="K3" s="18" t="s">
        <v>38</v>
      </c>
      <c r="L3" s="18" t="s">
        <v>39</v>
      </c>
    </row>
    <row r="4" ht="15.0" customHeight="1">
      <c r="A4" s="31" t="s">
        <v>81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5"/>
    </row>
    <row r="5" ht="15.0" customHeight="1">
      <c r="A5" s="20">
        <v>26.0</v>
      </c>
      <c r="B5" s="21" t="s">
        <v>81</v>
      </c>
      <c r="C5" s="22" t="s">
        <v>41</v>
      </c>
      <c r="D5" s="22" t="s">
        <v>42</v>
      </c>
      <c r="E5" s="6" t="s">
        <v>66</v>
      </c>
      <c r="F5" s="22" t="s">
        <v>44</v>
      </c>
      <c r="G5" s="22" t="s">
        <v>45</v>
      </c>
      <c r="H5" s="22" t="s">
        <v>82</v>
      </c>
      <c r="I5" s="20" t="s">
        <v>47</v>
      </c>
      <c r="J5" s="28" t="s">
        <v>6</v>
      </c>
      <c r="K5" s="23" t="s">
        <v>5</v>
      </c>
      <c r="L5" s="20" t="str">
        <f t="shared" ref="L5:L7" si="1">IF(K5="","—",IF(J5=K5,"MATCH","MISMATCH"))</f>
        <v>MISMATCH</v>
      </c>
    </row>
    <row r="6" ht="15.0" customHeight="1">
      <c r="A6" s="24">
        <v>27.0</v>
      </c>
      <c r="B6" s="25" t="s">
        <v>81</v>
      </c>
      <c r="C6" s="26" t="s">
        <v>41</v>
      </c>
      <c r="D6" s="26" t="s">
        <v>42</v>
      </c>
      <c r="E6" s="8" t="s">
        <v>66</v>
      </c>
      <c r="F6" s="26" t="s">
        <v>83</v>
      </c>
      <c r="G6" s="26" t="s">
        <v>45</v>
      </c>
      <c r="H6" s="26" t="s">
        <v>82</v>
      </c>
      <c r="I6" s="24" t="s">
        <v>47</v>
      </c>
      <c r="J6" s="28" t="s">
        <v>6</v>
      </c>
      <c r="K6" s="23" t="s">
        <v>5</v>
      </c>
      <c r="L6" s="24" t="str">
        <f t="shared" si="1"/>
        <v>MISMATCH</v>
      </c>
    </row>
    <row r="7" ht="15.0" customHeight="1">
      <c r="A7" s="20">
        <v>28.0</v>
      </c>
      <c r="B7" s="21" t="s">
        <v>81</v>
      </c>
      <c r="C7" s="22" t="s">
        <v>41</v>
      </c>
      <c r="D7" s="22" t="s">
        <v>42</v>
      </c>
      <c r="E7" s="6" t="s">
        <v>66</v>
      </c>
      <c r="F7" s="22" t="s">
        <v>48</v>
      </c>
      <c r="G7" s="22" t="s">
        <v>45</v>
      </c>
      <c r="H7" s="22" t="s">
        <v>82</v>
      </c>
      <c r="I7" s="20" t="s">
        <v>47</v>
      </c>
      <c r="J7" s="28" t="s">
        <v>6</v>
      </c>
      <c r="K7" s="23" t="s">
        <v>5</v>
      </c>
      <c r="L7" s="20" t="str">
        <f t="shared" si="1"/>
        <v>MISMATCH</v>
      </c>
    </row>
    <row r="9" ht="15.0" customHeight="1">
      <c r="A9" s="31" t="s">
        <v>84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5"/>
    </row>
    <row r="10" ht="15.0" customHeight="1">
      <c r="A10" s="24">
        <v>29.0</v>
      </c>
      <c r="B10" s="25" t="s">
        <v>84</v>
      </c>
      <c r="C10" s="26" t="s">
        <v>75</v>
      </c>
      <c r="D10" s="26" t="s">
        <v>76</v>
      </c>
      <c r="E10" s="8" t="s">
        <v>66</v>
      </c>
      <c r="F10" s="26" t="s">
        <v>44</v>
      </c>
      <c r="G10" s="26" t="s">
        <v>45</v>
      </c>
      <c r="H10" s="26" t="s">
        <v>82</v>
      </c>
      <c r="I10" s="24" t="s">
        <v>47</v>
      </c>
      <c r="J10" s="27" t="s">
        <v>5</v>
      </c>
      <c r="K10" s="23" t="s">
        <v>5</v>
      </c>
      <c r="L10" s="24" t="str">
        <f t="shared" ref="L10:L12" si="2">IF(K10="","—",IF(J10=K10,"MATCH","MISMATCH"))</f>
        <v>MATCH</v>
      </c>
    </row>
    <row r="11" ht="15.0" customHeight="1">
      <c r="A11" s="20">
        <v>30.0</v>
      </c>
      <c r="B11" s="21" t="s">
        <v>84</v>
      </c>
      <c r="C11" s="22" t="s">
        <v>75</v>
      </c>
      <c r="D11" s="22" t="s">
        <v>76</v>
      </c>
      <c r="E11" s="6" t="s">
        <v>66</v>
      </c>
      <c r="F11" s="22" t="s">
        <v>83</v>
      </c>
      <c r="G11" s="22" t="s">
        <v>45</v>
      </c>
      <c r="H11" s="22" t="s">
        <v>82</v>
      </c>
      <c r="I11" s="20" t="s">
        <v>47</v>
      </c>
      <c r="J11" s="27" t="s">
        <v>5</v>
      </c>
      <c r="K11" s="23" t="s">
        <v>5</v>
      </c>
      <c r="L11" s="20" t="str">
        <f t="shared" si="2"/>
        <v>MATCH</v>
      </c>
    </row>
    <row r="12" ht="15.0" customHeight="1">
      <c r="A12" s="24">
        <v>31.0</v>
      </c>
      <c r="B12" s="25" t="s">
        <v>84</v>
      </c>
      <c r="C12" s="26" t="s">
        <v>75</v>
      </c>
      <c r="D12" s="26" t="s">
        <v>76</v>
      </c>
      <c r="E12" s="8" t="s">
        <v>66</v>
      </c>
      <c r="F12" s="26" t="s">
        <v>48</v>
      </c>
      <c r="G12" s="26" t="s">
        <v>45</v>
      </c>
      <c r="H12" s="26" t="s">
        <v>82</v>
      </c>
      <c r="I12" s="24" t="s">
        <v>47</v>
      </c>
      <c r="J12" s="27" t="s">
        <v>5</v>
      </c>
      <c r="K12" s="23" t="s">
        <v>5</v>
      </c>
      <c r="L12" s="24" t="str">
        <f t="shared" si="2"/>
        <v>MATCH</v>
      </c>
    </row>
    <row r="14" ht="15.0" customHeight="1">
      <c r="A14" s="31" t="s">
        <v>85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5"/>
    </row>
    <row r="15" ht="15.0" customHeight="1">
      <c r="A15" s="20">
        <v>32.0</v>
      </c>
      <c r="B15" s="21" t="s">
        <v>85</v>
      </c>
      <c r="C15" s="22" t="s">
        <v>51</v>
      </c>
      <c r="D15" s="22" t="s">
        <v>52</v>
      </c>
      <c r="E15" s="6" t="s">
        <v>66</v>
      </c>
      <c r="F15" s="22" t="s">
        <v>44</v>
      </c>
      <c r="G15" s="22" t="s">
        <v>45</v>
      </c>
      <c r="H15" s="22" t="s">
        <v>82</v>
      </c>
      <c r="I15" s="20" t="s">
        <v>47</v>
      </c>
      <c r="J15" s="27" t="s">
        <v>5</v>
      </c>
      <c r="K15" s="23" t="s">
        <v>4</v>
      </c>
      <c r="L15" s="20" t="str">
        <f t="shared" ref="L15:L17" si="3">IF(K15="","—",IF(J15=K15,"MATCH","MISMATCH"))</f>
        <v>MISMATCH</v>
      </c>
    </row>
    <row r="16" ht="15.0" customHeight="1">
      <c r="A16" s="24">
        <v>33.0</v>
      </c>
      <c r="B16" s="25" t="s">
        <v>85</v>
      </c>
      <c r="C16" s="26" t="s">
        <v>51</v>
      </c>
      <c r="D16" s="26" t="s">
        <v>52</v>
      </c>
      <c r="E16" s="8" t="s">
        <v>66</v>
      </c>
      <c r="F16" s="26" t="s">
        <v>83</v>
      </c>
      <c r="G16" s="26" t="s">
        <v>45</v>
      </c>
      <c r="H16" s="26" t="s">
        <v>82</v>
      </c>
      <c r="I16" s="24" t="s">
        <v>47</v>
      </c>
      <c r="J16" s="27" t="s">
        <v>5</v>
      </c>
      <c r="K16" s="23" t="s">
        <v>4</v>
      </c>
      <c r="L16" s="24" t="str">
        <f t="shared" si="3"/>
        <v>MISMATCH</v>
      </c>
    </row>
    <row r="17" ht="15.0" customHeight="1">
      <c r="A17" s="20">
        <v>34.0</v>
      </c>
      <c r="B17" s="21" t="s">
        <v>85</v>
      </c>
      <c r="C17" s="22" t="s">
        <v>51</v>
      </c>
      <c r="D17" s="22" t="s">
        <v>52</v>
      </c>
      <c r="E17" s="6" t="s">
        <v>66</v>
      </c>
      <c r="F17" s="22" t="s">
        <v>48</v>
      </c>
      <c r="G17" s="22" t="s">
        <v>45</v>
      </c>
      <c r="H17" s="22" t="s">
        <v>82</v>
      </c>
      <c r="I17" s="20" t="s">
        <v>47</v>
      </c>
      <c r="J17" s="27" t="s">
        <v>5</v>
      </c>
      <c r="K17" s="23" t="s">
        <v>4</v>
      </c>
      <c r="L17" s="20" t="str">
        <f t="shared" si="3"/>
        <v>MISMATCH</v>
      </c>
    </row>
    <row r="19" ht="15.0" customHeight="1">
      <c r="A19" s="31" t="s">
        <v>40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5"/>
    </row>
    <row r="20" ht="15.0" customHeight="1">
      <c r="A20" s="24">
        <v>35.0</v>
      </c>
      <c r="B20" s="25" t="s">
        <v>40</v>
      </c>
      <c r="C20" s="26" t="s">
        <v>41</v>
      </c>
      <c r="D20" s="26" t="s">
        <v>42</v>
      </c>
      <c r="E20" s="8" t="s">
        <v>43</v>
      </c>
      <c r="F20" s="26" t="s">
        <v>44</v>
      </c>
      <c r="G20" s="26" t="s">
        <v>45</v>
      </c>
      <c r="H20" s="26" t="s">
        <v>46</v>
      </c>
      <c r="I20" s="24" t="s">
        <v>47</v>
      </c>
      <c r="J20" s="10" t="s">
        <v>4</v>
      </c>
      <c r="K20" s="23" t="s">
        <v>5</v>
      </c>
      <c r="L20" s="24" t="str">
        <f t="shared" ref="L20:L22" si="4">IF(K20="","—",IF(J20=K20,"MATCH","MISMATCH"))</f>
        <v>MISMATCH</v>
      </c>
    </row>
    <row r="21" ht="15.0" customHeight="1">
      <c r="A21" s="20">
        <v>36.0</v>
      </c>
      <c r="B21" s="21" t="s">
        <v>40</v>
      </c>
      <c r="C21" s="22" t="s">
        <v>41</v>
      </c>
      <c r="D21" s="22" t="s">
        <v>42</v>
      </c>
      <c r="E21" s="6" t="s">
        <v>43</v>
      </c>
      <c r="F21" s="22" t="s">
        <v>48</v>
      </c>
      <c r="G21" s="22" t="s">
        <v>45</v>
      </c>
      <c r="H21" s="22" t="s">
        <v>46</v>
      </c>
      <c r="I21" s="20" t="s">
        <v>47</v>
      </c>
      <c r="J21" s="10" t="s">
        <v>4</v>
      </c>
      <c r="K21" s="23" t="s">
        <v>5</v>
      </c>
      <c r="L21" s="20" t="str">
        <f t="shared" si="4"/>
        <v>MISMATCH</v>
      </c>
    </row>
    <row r="22" ht="15.0" customHeight="1">
      <c r="A22" s="24">
        <v>37.0</v>
      </c>
      <c r="B22" s="25" t="s">
        <v>40</v>
      </c>
      <c r="C22" s="26" t="s">
        <v>41</v>
      </c>
      <c r="D22" s="26" t="s">
        <v>42</v>
      </c>
      <c r="E22" s="8" t="s">
        <v>43</v>
      </c>
      <c r="F22" s="26" t="s">
        <v>49</v>
      </c>
      <c r="G22" s="26" t="s">
        <v>45</v>
      </c>
      <c r="H22" s="26" t="s">
        <v>46</v>
      </c>
      <c r="I22" s="24" t="s">
        <v>47</v>
      </c>
      <c r="J22" s="10" t="s">
        <v>4</v>
      </c>
      <c r="K22" s="23" t="s">
        <v>5</v>
      </c>
      <c r="L22" s="24" t="str">
        <f t="shared" si="4"/>
        <v>MISMATCH</v>
      </c>
    </row>
    <row r="23" ht="15.75" customHeight="1"/>
    <row r="24" ht="15.0" customHeight="1">
      <c r="A24" s="31" t="s">
        <v>86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5"/>
    </row>
    <row r="25" ht="15.0" customHeight="1">
      <c r="A25" s="20">
        <v>38.0</v>
      </c>
      <c r="B25" s="21" t="s">
        <v>86</v>
      </c>
      <c r="C25" s="22" t="s">
        <v>41</v>
      </c>
      <c r="D25" s="22" t="s">
        <v>42</v>
      </c>
      <c r="E25" s="6" t="s">
        <v>66</v>
      </c>
      <c r="F25" s="22" t="s">
        <v>44</v>
      </c>
      <c r="G25" s="22" t="s">
        <v>45</v>
      </c>
      <c r="H25" s="22" t="s">
        <v>87</v>
      </c>
      <c r="I25" s="20" t="s">
        <v>47</v>
      </c>
      <c r="J25" s="10" t="s">
        <v>4</v>
      </c>
      <c r="K25" s="23" t="s">
        <v>4</v>
      </c>
      <c r="L25" s="20" t="str">
        <f t="shared" ref="L25:L27" si="5">IF(K25="","—",IF(J25=K25,"MATCH","MISMATCH"))</f>
        <v>MATCH</v>
      </c>
    </row>
    <row r="26" ht="15.0" customHeight="1">
      <c r="A26" s="24">
        <v>39.0</v>
      </c>
      <c r="B26" s="25" t="s">
        <v>86</v>
      </c>
      <c r="C26" s="26" t="s">
        <v>41</v>
      </c>
      <c r="D26" s="26" t="s">
        <v>42</v>
      </c>
      <c r="E26" s="8" t="s">
        <v>66</v>
      </c>
      <c r="F26" s="26" t="s">
        <v>83</v>
      </c>
      <c r="G26" s="26" t="s">
        <v>45</v>
      </c>
      <c r="H26" s="26" t="s">
        <v>87</v>
      </c>
      <c r="I26" s="24" t="s">
        <v>47</v>
      </c>
      <c r="J26" s="10" t="s">
        <v>4</v>
      </c>
      <c r="K26" s="23" t="s">
        <v>4</v>
      </c>
      <c r="L26" s="24" t="str">
        <f t="shared" si="5"/>
        <v>MATCH</v>
      </c>
    </row>
    <row r="27" ht="15.0" customHeight="1">
      <c r="A27" s="20">
        <v>40.0</v>
      </c>
      <c r="B27" s="21" t="s">
        <v>86</v>
      </c>
      <c r="C27" s="22" t="s">
        <v>41</v>
      </c>
      <c r="D27" s="22" t="s">
        <v>42</v>
      </c>
      <c r="E27" s="6" t="s">
        <v>66</v>
      </c>
      <c r="F27" s="22" t="s">
        <v>48</v>
      </c>
      <c r="G27" s="22" t="s">
        <v>45</v>
      </c>
      <c r="H27" s="22" t="s">
        <v>87</v>
      </c>
      <c r="I27" s="20" t="s">
        <v>47</v>
      </c>
      <c r="J27" s="10" t="s">
        <v>4</v>
      </c>
      <c r="K27" s="23" t="s">
        <v>4</v>
      </c>
      <c r="L27" s="20" t="str">
        <f t="shared" si="5"/>
        <v>MATCH</v>
      </c>
    </row>
    <row r="28" ht="15.75" customHeight="1"/>
    <row r="29" ht="15.0" customHeight="1">
      <c r="A29" s="31" t="s">
        <v>88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5"/>
    </row>
    <row r="30" ht="15.0" customHeight="1">
      <c r="A30" s="24">
        <v>41.0</v>
      </c>
      <c r="B30" s="25" t="s">
        <v>88</v>
      </c>
      <c r="C30" s="26" t="s">
        <v>41</v>
      </c>
      <c r="D30" s="26" t="s">
        <v>42</v>
      </c>
      <c r="E30" s="8" t="s">
        <v>66</v>
      </c>
      <c r="F30" s="26" t="s">
        <v>44</v>
      </c>
      <c r="G30" s="26" t="s">
        <v>45</v>
      </c>
      <c r="H30" s="26" t="s">
        <v>89</v>
      </c>
      <c r="I30" s="24" t="s">
        <v>47</v>
      </c>
      <c r="J30" s="27" t="s">
        <v>5</v>
      </c>
      <c r="K30" s="23" t="s">
        <v>5</v>
      </c>
      <c r="L30" s="24" t="str">
        <f t="shared" ref="L30:L32" si="6">IF(K30="","—",IF(J30=K30,"MATCH","MISMATCH"))</f>
        <v>MATCH</v>
      </c>
    </row>
    <row r="31" ht="15.0" customHeight="1">
      <c r="A31" s="20">
        <v>42.0</v>
      </c>
      <c r="B31" s="21" t="s">
        <v>88</v>
      </c>
      <c r="C31" s="22" t="s">
        <v>41</v>
      </c>
      <c r="D31" s="22" t="s">
        <v>42</v>
      </c>
      <c r="E31" s="6" t="s">
        <v>66</v>
      </c>
      <c r="F31" s="22" t="s">
        <v>83</v>
      </c>
      <c r="G31" s="22" t="s">
        <v>45</v>
      </c>
      <c r="H31" s="22" t="s">
        <v>89</v>
      </c>
      <c r="I31" s="20" t="s">
        <v>47</v>
      </c>
      <c r="J31" s="27" t="s">
        <v>5</v>
      </c>
      <c r="K31" s="23" t="s">
        <v>5</v>
      </c>
      <c r="L31" s="20" t="str">
        <f t="shared" si="6"/>
        <v>MATCH</v>
      </c>
    </row>
    <row r="32" ht="15.0" customHeight="1">
      <c r="A32" s="24">
        <v>43.0</v>
      </c>
      <c r="B32" s="25" t="s">
        <v>88</v>
      </c>
      <c r="C32" s="26" t="s">
        <v>41</v>
      </c>
      <c r="D32" s="26" t="s">
        <v>42</v>
      </c>
      <c r="E32" s="8" t="s">
        <v>66</v>
      </c>
      <c r="F32" s="26" t="s">
        <v>48</v>
      </c>
      <c r="G32" s="26" t="s">
        <v>45</v>
      </c>
      <c r="H32" s="26" t="s">
        <v>89</v>
      </c>
      <c r="I32" s="24" t="s">
        <v>47</v>
      </c>
      <c r="J32" s="27" t="s">
        <v>5</v>
      </c>
      <c r="K32" s="23" t="s">
        <v>5</v>
      </c>
      <c r="L32" s="24" t="str">
        <f t="shared" si="6"/>
        <v>MATCH</v>
      </c>
    </row>
    <row r="33" ht="15.75" customHeight="1"/>
    <row r="34" ht="15.0" customHeight="1">
      <c r="A34" s="31" t="s">
        <v>90</v>
      </c>
      <c r="B34" s="14"/>
      <c r="C34" s="14"/>
      <c r="D34" s="14"/>
      <c r="E34" s="14"/>
      <c r="F34" s="14"/>
      <c r="G34" s="14"/>
      <c r="H34" s="14"/>
      <c r="I34" s="14"/>
      <c r="J34" s="14"/>
      <c r="K34" s="14"/>
      <c r="L34" s="15"/>
    </row>
    <row r="35" ht="15.0" customHeight="1">
      <c r="A35" s="20">
        <v>44.0</v>
      </c>
      <c r="B35" s="21" t="s">
        <v>90</v>
      </c>
      <c r="C35" s="22" t="s">
        <v>75</v>
      </c>
      <c r="D35" s="22" t="s">
        <v>76</v>
      </c>
      <c r="E35" s="6" t="s">
        <v>66</v>
      </c>
      <c r="F35" s="22" t="s">
        <v>44</v>
      </c>
      <c r="G35" s="22" t="s">
        <v>45</v>
      </c>
      <c r="H35" s="22" t="s">
        <v>89</v>
      </c>
      <c r="I35" s="20" t="s">
        <v>47</v>
      </c>
      <c r="J35" s="10" t="s">
        <v>4</v>
      </c>
      <c r="K35" s="23" t="s">
        <v>4</v>
      </c>
      <c r="L35" s="20" t="str">
        <f t="shared" ref="L35:L37" si="7">IF(K35="","—",IF(J35=K35,"MATCH","MISMATCH"))</f>
        <v>MATCH</v>
      </c>
    </row>
    <row r="36" ht="15.0" customHeight="1">
      <c r="A36" s="24">
        <v>45.0</v>
      </c>
      <c r="B36" s="25" t="s">
        <v>90</v>
      </c>
      <c r="C36" s="26" t="s">
        <v>75</v>
      </c>
      <c r="D36" s="26" t="s">
        <v>76</v>
      </c>
      <c r="E36" s="8" t="s">
        <v>66</v>
      </c>
      <c r="F36" s="26" t="s">
        <v>83</v>
      </c>
      <c r="G36" s="26" t="s">
        <v>45</v>
      </c>
      <c r="H36" s="26" t="s">
        <v>89</v>
      </c>
      <c r="I36" s="24" t="s">
        <v>47</v>
      </c>
      <c r="J36" s="10" t="s">
        <v>4</v>
      </c>
      <c r="K36" s="23" t="s">
        <v>4</v>
      </c>
      <c r="L36" s="24" t="str">
        <f t="shared" si="7"/>
        <v>MATCH</v>
      </c>
    </row>
    <row r="37" ht="15.0" customHeight="1">
      <c r="A37" s="20">
        <v>46.0</v>
      </c>
      <c r="B37" s="21" t="s">
        <v>90</v>
      </c>
      <c r="C37" s="22" t="s">
        <v>75</v>
      </c>
      <c r="D37" s="22" t="s">
        <v>76</v>
      </c>
      <c r="E37" s="6" t="s">
        <v>66</v>
      </c>
      <c r="F37" s="22" t="s">
        <v>48</v>
      </c>
      <c r="G37" s="22" t="s">
        <v>45</v>
      </c>
      <c r="H37" s="22" t="s">
        <v>89</v>
      </c>
      <c r="I37" s="20" t="s">
        <v>47</v>
      </c>
      <c r="J37" s="10" t="s">
        <v>4</v>
      </c>
      <c r="K37" s="23" t="s">
        <v>4</v>
      </c>
      <c r="L37" s="20" t="str">
        <f t="shared" si="7"/>
        <v>MATCH</v>
      </c>
    </row>
    <row r="38" ht="15.75" customHeight="1"/>
    <row r="39" ht="15.0" customHeight="1">
      <c r="A39" s="31" t="s">
        <v>50</v>
      </c>
      <c r="B39" s="14"/>
      <c r="C39" s="14"/>
      <c r="D39" s="14"/>
      <c r="E39" s="14"/>
      <c r="F39" s="14"/>
      <c r="G39" s="14"/>
      <c r="H39" s="14"/>
      <c r="I39" s="14"/>
      <c r="J39" s="14"/>
      <c r="K39" s="14"/>
      <c r="L39" s="15"/>
    </row>
    <row r="40" ht="15.0" customHeight="1">
      <c r="A40" s="24">
        <v>47.0</v>
      </c>
      <c r="B40" s="25" t="s">
        <v>50</v>
      </c>
      <c r="C40" s="26" t="s">
        <v>51</v>
      </c>
      <c r="D40" s="26" t="s">
        <v>52</v>
      </c>
      <c r="E40" s="8" t="s">
        <v>43</v>
      </c>
      <c r="F40" s="26" t="s">
        <v>44</v>
      </c>
      <c r="G40" s="26" t="s">
        <v>45</v>
      </c>
      <c r="H40" s="26" t="s">
        <v>53</v>
      </c>
      <c r="I40" s="24" t="s">
        <v>47</v>
      </c>
      <c r="J40" s="10" t="s">
        <v>4</v>
      </c>
      <c r="K40" s="23" t="s">
        <v>5</v>
      </c>
      <c r="L40" s="24" t="str">
        <f t="shared" ref="L40:L41" si="8">IF(K40="","—",IF(J40=K40,"MATCH","MISMATCH"))</f>
        <v>MISMATCH</v>
      </c>
    </row>
    <row r="41" ht="15.0" customHeight="1">
      <c r="A41" s="20">
        <v>48.0</v>
      </c>
      <c r="B41" s="21" t="s">
        <v>50</v>
      </c>
      <c r="C41" s="22" t="s">
        <v>51</v>
      </c>
      <c r="D41" s="22" t="s">
        <v>52</v>
      </c>
      <c r="E41" s="6" t="s">
        <v>43</v>
      </c>
      <c r="F41" s="22" t="s">
        <v>54</v>
      </c>
      <c r="G41" s="22" t="s">
        <v>45</v>
      </c>
      <c r="H41" s="22" t="s">
        <v>53</v>
      </c>
      <c r="I41" s="20" t="s">
        <v>47</v>
      </c>
      <c r="J41" s="10" t="s">
        <v>4</v>
      </c>
      <c r="K41" s="23" t="s">
        <v>5</v>
      </c>
      <c r="L41" s="20" t="str">
        <f t="shared" si="8"/>
        <v>MISMATCH</v>
      </c>
    </row>
    <row r="42" ht="15.75" customHeight="1"/>
    <row r="43" ht="15.0" customHeight="1">
      <c r="A43" s="31" t="s">
        <v>55</v>
      </c>
      <c r="B43" s="14"/>
      <c r="C43" s="14"/>
      <c r="D43" s="14"/>
      <c r="E43" s="14"/>
      <c r="F43" s="14"/>
      <c r="G43" s="14"/>
      <c r="H43" s="14"/>
      <c r="I43" s="14"/>
      <c r="J43" s="14"/>
      <c r="K43" s="14"/>
      <c r="L43" s="15"/>
    </row>
    <row r="44" ht="15.0" customHeight="1">
      <c r="A44" s="24">
        <v>49.0</v>
      </c>
      <c r="B44" s="25" t="s">
        <v>55</v>
      </c>
      <c r="C44" s="26" t="s">
        <v>41</v>
      </c>
      <c r="D44" s="26" t="s">
        <v>42</v>
      </c>
      <c r="E44" s="8" t="s">
        <v>43</v>
      </c>
      <c r="F44" s="26" t="s">
        <v>44</v>
      </c>
      <c r="G44" s="26" t="s">
        <v>45</v>
      </c>
      <c r="H44" s="26" t="s">
        <v>56</v>
      </c>
      <c r="I44" s="24" t="s">
        <v>47</v>
      </c>
      <c r="J44" s="10" t="s">
        <v>4</v>
      </c>
      <c r="K44" s="23" t="s">
        <v>5</v>
      </c>
      <c r="L44" s="24" t="str">
        <f t="shared" ref="L44:L46" si="9">IF(K44="","—",IF(J44=K44,"MATCH","MISMATCH"))</f>
        <v>MISMATCH</v>
      </c>
    </row>
    <row r="45" ht="15.0" customHeight="1">
      <c r="A45" s="20">
        <v>50.0</v>
      </c>
      <c r="B45" s="21" t="s">
        <v>55</v>
      </c>
      <c r="C45" s="22" t="s">
        <v>41</v>
      </c>
      <c r="D45" s="22" t="s">
        <v>42</v>
      </c>
      <c r="E45" s="6" t="s">
        <v>43</v>
      </c>
      <c r="F45" s="22" t="s">
        <v>48</v>
      </c>
      <c r="G45" s="22" t="s">
        <v>45</v>
      </c>
      <c r="H45" s="22" t="s">
        <v>56</v>
      </c>
      <c r="I45" s="20" t="s">
        <v>47</v>
      </c>
      <c r="J45" s="10" t="s">
        <v>4</v>
      </c>
      <c r="K45" s="23" t="s">
        <v>5</v>
      </c>
      <c r="L45" s="20" t="str">
        <f t="shared" si="9"/>
        <v>MISMATCH</v>
      </c>
    </row>
    <row r="46" ht="15.0" customHeight="1">
      <c r="A46" s="24">
        <v>51.0</v>
      </c>
      <c r="B46" s="25" t="s">
        <v>55</v>
      </c>
      <c r="C46" s="26" t="s">
        <v>41</v>
      </c>
      <c r="D46" s="26" t="s">
        <v>42</v>
      </c>
      <c r="E46" s="8" t="s">
        <v>43</v>
      </c>
      <c r="F46" s="26" t="s">
        <v>57</v>
      </c>
      <c r="G46" s="26" t="s">
        <v>45</v>
      </c>
      <c r="H46" s="26" t="s">
        <v>56</v>
      </c>
      <c r="I46" s="24" t="s">
        <v>47</v>
      </c>
      <c r="J46" s="10" t="s">
        <v>4</v>
      </c>
      <c r="K46" s="23" t="s">
        <v>5</v>
      </c>
      <c r="L46" s="24" t="str">
        <f t="shared" si="9"/>
        <v>MISMATCH</v>
      </c>
    </row>
    <row r="47" ht="15.75" customHeight="1"/>
    <row r="48" ht="15.0" customHeight="1">
      <c r="A48" s="31" t="s">
        <v>91</v>
      </c>
      <c r="B48" s="14"/>
      <c r="C48" s="14"/>
      <c r="D48" s="14"/>
      <c r="E48" s="14"/>
      <c r="F48" s="14"/>
      <c r="G48" s="14"/>
      <c r="H48" s="14"/>
      <c r="I48" s="14"/>
      <c r="J48" s="14"/>
      <c r="K48" s="14"/>
      <c r="L48" s="15"/>
    </row>
    <row r="49" ht="15.0" customHeight="1">
      <c r="A49" s="20">
        <v>52.0</v>
      </c>
      <c r="B49" s="21" t="s">
        <v>91</v>
      </c>
      <c r="C49" s="22" t="s">
        <v>41</v>
      </c>
      <c r="D49" s="22" t="s">
        <v>42</v>
      </c>
      <c r="E49" s="6" t="s">
        <v>66</v>
      </c>
      <c r="F49" s="22" t="s">
        <v>69</v>
      </c>
      <c r="G49" s="22" t="s">
        <v>45</v>
      </c>
      <c r="H49" s="22" t="s">
        <v>46</v>
      </c>
      <c r="I49" s="20" t="s">
        <v>47</v>
      </c>
      <c r="J49" s="27" t="s">
        <v>5</v>
      </c>
      <c r="K49" s="23" t="s">
        <v>5</v>
      </c>
      <c r="L49" s="20" t="str">
        <f>IF(K49="","—",IF(J49=K49,"MATCH","MISMATCH"))</f>
        <v>MATCH</v>
      </c>
    </row>
    <row r="50" ht="15.75" customHeight="1"/>
    <row r="51" ht="15.0" customHeight="1">
      <c r="A51" s="31" t="s">
        <v>92</v>
      </c>
      <c r="B51" s="14"/>
      <c r="C51" s="14"/>
      <c r="D51" s="14"/>
      <c r="E51" s="14"/>
      <c r="F51" s="14"/>
      <c r="G51" s="14"/>
      <c r="H51" s="14"/>
      <c r="I51" s="14"/>
      <c r="J51" s="14"/>
      <c r="K51" s="14"/>
      <c r="L51" s="15"/>
    </row>
    <row r="52" ht="15.0" customHeight="1">
      <c r="A52" s="24">
        <v>53.0</v>
      </c>
      <c r="B52" s="25" t="s">
        <v>92</v>
      </c>
      <c r="C52" s="26" t="s">
        <v>41</v>
      </c>
      <c r="D52" s="26" t="s">
        <v>42</v>
      </c>
      <c r="E52" s="8" t="s">
        <v>66</v>
      </c>
      <c r="F52" s="26" t="s">
        <v>44</v>
      </c>
      <c r="G52" s="26" t="s">
        <v>45</v>
      </c>
      <c r="H52" s="26" t="s">
        <v>46</v>
      </c>
      <c r="I52" s="24" t="s">
        <v>47</v>
      </c>
      <c r="J52" s="10" t="s">
        <v>4</v>
      </c>
      <c r="K52" s="23" t="s">
        <v>4</v>
      </c>
      <c r="L52" s="24" t="str">
        <f t="shared" ref="L52:L54" si="10">IF(K52="","—",IF(J52=K52,"MATCH","MISMATCH"))</f>
        <v>MATCH</v>
      </c>
    </row>
    <row r="53" ht="15.0" customHeight="1">
      <c r="A53" s="20">
        <v>54.0</v>
      </c>
      <c r="B53" s="21" t="s">
        <v>92</v>
      </c>
      <c r="C53" s="22" t="s">
        <v>41</v>
      </c>
      <c r="D53" s="22" t="s">
        <v>42</v>
      </c>
      <c r="E53" s="6" t="s">
        <v>66</v>
      </c>
      <c r="F53" s="22" t="s">
        <v>83</v>
      </c>
      <c r="G53" s="22" t="s">
        <v>45</v>
      </c>
      <c r="H53" s="22" t="s">
        <v>46</v>
      </c>
      <c r="I53" s="20" t="s">
        <v>47</v>
      </c>
      <c r="J53" s="10" t="s">
        <v>4</v>
      </c>
      <c r="K53" s="23" t="s">
        <v>4</v>
      </c>
      <c r="L53" s="20" t="str">
        <f t="shared" si="10"/>
        <v>MATCH</v>
      </c>
    </row>
    <row r="54" ht="15.0" customHeight="1">
      <c r="A54" s="24">
        <v>55.0</v>
      </c>
      <c r="B54" s="25" t="s">
        <v>92</v>
      </c>
      <c r="C54" s="26" t="s">
        <v>41</v>
      </c>
      <c r="D54" s="26" t="s">
        <v>42</v>
      </c>
      <c r="E54" s="8" t="s">
        <v>66</v>
      </c>
      <c r="F54" s="26" t="s">
        <v>48</v>
      </c>
      <c r="G54" s="26" t="s">
        <v>45</v>
      </c>
      <c r="H54" s="26" t="s">
        <v>46</v>
      </c>
      <c r="I54" s="24" t="s">
        <v>47</v>
      </c>
      <c r="J54" s="10" t="s">
        <v>4</v>
      </c>
      <c r="K54" s="23" t="s">
        <v>4</v>
      </c>
      <c r="L54" s="24" t="str">
        <f t="shared" si="10"/>
        <v>MATCH</v>
      </c>
    </row>
    <row r="55" ht="15.75" customHeight="1"/>
    <row r="56" ht="15.0" customHeight="1">
      <c r="A56" s="31" t="s">
        <v>93</v>
      </c>
      <c r="B56" s="14"/>
      <c r="C56" s="14"/>
      <c r="D56" s="14"/>
      <c r="E56" s="14"/>
      <c r="F56" s="14"/>
      <c r="G56" s="14"/>
      <c r="H56" s="14"/>
      <c r="I56" s="14"/>
      <c r="J56" s="14"/>
      <c r="K56" s="14"/>
      <c r="L56" s="15"/>
    </row>
    <row r="57" ht="15.0" customHeight="1">
      <c r="A57" s="20">
        <v>56.0</v>
      </c>
      <c r="B57" s="21" t="s">
        <v>93</v>
      </c>
      <c r="C57" s="22" t="s">
        <v>41</v>
      </c>
      <c r="D57" s="22" t="s">
        <v>42</v>
      </c>
      <c r="E57" s="6" t="s">
        <v>66</v>
      </c>
      <c r="F57" s="22" t="s">
        <v>94</v>
      </c>
      <c r="G57" s="22" t="s">
        <v>45</v>
      </c>
      <c r="H57" s="22" t="s">
        <v>59</v>
      </c>
      <c r="I57" s="20" t="s">
        <v>60</v>
      </c>
      <c r="J57" s="32" t="s">
        <v>7</v>
      </c>
      <c r="K57" s="23" t="s">
        <v>6</v>
      </c>
      <c r="L57" s="20" t="str">
        <f>IF(K57="","—",IF(J57=K57,"MATCH","MISMATCH"))</f>
        <v>MISMATCH</v>
      </c>
    </row>
    <row r="58" ht="15.75" customHeight="1"/>
    <row r="59" ht="15.0" customHeight="1">
      <c r="A59" s="31" t="s">
        <v>95</v>
      </c>
      <c r="B59" s="14"/>
      <c r="C59" s="14"/>
      <c r="D59" s="14"/>
      <c r="E59" s="14"/>
      <c r="F59" s="14"/>
      <c r="G59" s="14"/>
      <c r="H59" s="14"/>
      <c r="I59" s="14"/>
      <c r="J59" s="14"/>
      <c r="K59" s="14"/>
      <c r="L59" s="15"/>
    </row>
    <row r="60" ht="15.0" customHeight="1">
      <c r="A60" s="24">
        <v>57.0</v>
      </c>
      <c r="B60" s="25" t="s">
        <v>95</v>
      </c>
      <c r="C60" s="26" t="s">
        <v>75</v>
      </c>
      <c r="D60" s="26" t="s">
        <v>76</v>
      </c>
      <c r="E60" s="8" t="s">
        <v>66</v>
      </c>
      <c r="F60" s="26" t="s">
        <v>94</v>
      </c>
      <c r="G60" s="26" t="s">
        <v>45</v>
      </c>
      <c r="H60" s="26" t="s">
        <v>59</v>
      </c>
      <c r="I60" s="24" t="s">
        <v>60</v>
      </c>
      <c r="J60" s="28" t="s">
        <v>6</v>
      </c>
      <c r="K60" s="23" t="s">
        <v>5</v>
      </c>
      <c r="L60" s="24" t="str">
        <f t="shared" ref="L60:L61" si="11">IF(K60="","—",IF(J60=K60,"MATCH","MISMATCH"))</f>
        <v>MISMATCH</v>
      </c>
    </row>
    <row r="61" ht="15.0" customHeight="1">
      <c r="A61" s="20">
        <v>58.0</v>
      </c>
      <c r="B61" s="21" t="s">
        <v>95</v>
      </c>
      <c r="C61" s="22" t="s">
        <v>51</v>
      </c>
      <c r="D61" s="22" t="s">
        <v>52</v>
      </c>
      <c r="E61" s="6" t="s">
        <v>66</v>
      </c>
      <c r="F61" s="22" t="s">
        <v>94</v>
      </c>
      <c r="G61" s="22" t="s">
        <v>45</v>
      </c>
      <c r="H61" s="22" t="s">
        <v>59</v>
      </c>
      <c r="I61" s="20" t="s">
        <v>60</v>
      </c>
      <c r="J61" s="28" t="s">
        <v>6</v>
      </c>
      <c r="K61" s="23" t="s">
        <v>5</v>
      </c>
      <c r="L61" s="20" t="str">
        <f t="shared" si="11"/>
        <v>MISMATCH</v>
      </c>
    </row>
    <row r="62" ht="15.75" customHeight="1"/>
    <row r="63" ht="15.0" customHeight="1">
      <c r="A63" s="31" t="s">
        <v>96</v>
      </c>
      <c r="B63" s="14"/>
      <c r="C63" s="14"/>
      <c r="D63" s="14"/>
      <c r="E63" s="14"/>
      <c r="F63" s="14"/>
      <c r="G63" s="14"/>
      <c r="H63" s="14"/>
      <c r="I63" s="14"/>
      <c r="J63" s="14"/>
      <c r="K63" s="14"/>
      <c r="L63" s="15"/>
    </row>
    <row r="64" ht="15.0" customHeight="1">
      <c r="A64" s="24">
        <v>59.0</v>
      </c>
      <c r="B64" s="25" t="s">
        <v>96</v>
      </c>
      <c r="C64" s="26" t="s">
        <v>41</v>
      </c>
      <c r="D64" s="26" t="s">
        <v>42</v>
      </c>
      <c r="E64" s="8" t="s">
        <v>43</v>
      </c>
      <c r="F64" s="26" t="s">
        <v>44</v>
      </c>
      <c r="G64" s="26" t="s">
        <v>45</v>
      </c>
      <c r="H64" s="26" t="s">
        <v>59</v>
      </c>
      <c r="I64" s="24" t="s">
        <v>60</v>
      </c>
      <c r="J64" s="27" t="s">
        <v>5</v>
      </c>
      <c r="K64" s="23" t="s">
        <v>5</v>
      </c>
      <c r="L64" s="24" t="str">
        <f t="shared" ref="L64:L66" si="12">IF(K64="","—",IF(J64=K64,"MATCH","MISMATCH"))</f>
        <v>MATCH</v>
      </c>
    </row>
    <row r="65" ht="15.0" customHeight="1">
      <c r="A65" s="20">
        <v>60.0</v>
      </c>
      <c r="B65" s="21" t="s">
        <v>96</v>
      </c>
      <c r="C65" s="22" t="s">
        <v>41</v>
      </c>
      <c r="D65" s="22" t="s">
        <v>42</v>
      </c>
      <c r="E65" s="6" t="s">
        <v>43</v>
      </c>
      <c r="F65" s="22" t="s">
        <v>48</v>
      </c>
      <c r="G65" s="22" t="s">
        <v>45</v>
      </c>
      <c r="H65" s="22" t="s">
        <v>59</v>
      </c>
      <c r="I65" s="20" t="s">
        <v>60</v>
      </c>
      <c r="J65" s="27" t="s">
        <v>5</v>
      </c>
      <c r="K65" s="23" t="s">
        <v>5</v>
      </c>
      <c r="L65" s="20" t="str">
        <f t="shared" si="12"/>
        <v>MATCH</v>
      </c>
    </row>
    <row r="66" ht="15.0" customHeight="1">
      <c r="A66" s="24">
        <v>61.0</v>
      </c>
      <c r="B66" s="25" t="s">
        <v>96</v>
      </c>
      <c r="C66" s="26" t="s">
        <v>41</v>
      </c>
      <c r="D66" s="26" t="s">
        <v>42</v>
      </c>
      <c r="E66" s="8" t="s">
        <v>43</v>
      </c>
      <c r="F66" s="26" t="s">
        <v>49</v>
      </c>
      <c r="G66" s="26" t="s">
        <v>45</v>
      </c>
      <c r="H66" s="26" t="s">
        <v>59</v>
      </c>
      <c r="I66" s="24" t="s">
        <v>60</v>
      </c>
      <c r="J66" s="27" t="s">
        <v>5</v>
      </c>
      <c r="K66" s="23" t="s">
        <v>5</v>
      </c>
      <c r="L66" s="24" t="str">
        <f t="shared" si="12"/>
        <v>MATCH</v>
      </c>
    </row>
    <row r="67" ht="15.75" customHeight="1"/>
    <row r="68" ht="15.0" customHeight="1">
      <c r="A68" s="31" t="s">
        <v>97</v>
      </c>
      <c r="B68" s="14"/>
      <c r="C68" s="14"/>
      <c r="D68" s="14"/>
      <c r="E68" s="14"/>
      <c r="F68" s="14"/>
      <c r="G68" s="14"/>
      <c r="H68" s="14"/>
      <c r="I68" s="14"/>
      <c r="J68" s="14"/>
      <c r="K68" s="14"/>
      <c r="L68" s="15"/>
    </row>
    <row r="69" ht="15.0" customHeight="1">
      <c r="A69" s="20">
        <v>62.0</v>
      </c>
      <c r="B69" s="21" t="s">
        <v>97</v>
      </c>
      <c r="C69" s="22" t="s">
        <v>41</v>
      </c>
      <c r="D69" s="22" t="s">
        <v>42</v>
      </c>
      <c r="E69" s="6" t="s">
        <v>43</v>
      </c>
      <c r="F69" s="22" t="s">
        <v>98</v>
      </c>
      <c r="G69" s="22" t="s">
        <v>45</v>
      </c>
      <c r="H69" s="22" t="s">
        <v>59</v>
      </c>
      <c r="I69" s="20" t="s">
        <v>60</v>
      </c>
      <c r="J69" s="27" t="s">
        <v>5</v>
      </c>
      <c r="K69" s="23" t="s">
        <v>5</v>
      </c>
      <c r="L69" s="20" t="str">
        <f t="shared" ref="L69:L70" si="13">IF(K69="","—",IF(J69=K69,"MATCH","MISMATCH"))</f>
        <v>MATCH</v>
      </c>
    </row>
    <row r="70" ht="15.0" customHeight="1">
      <c r="A70" s="24">
        <v>63.0</v>
      </c>
      <c r="B70" s="25" t="s">
        <v>97</v>
      </c>
      <c r="C70" s="26" t="s">
        <v>41</v>
      </c>
      <c r="D70" s="26" t="s">
        <v>42</v>
      </c>
      <c r="E70" s="8" t="s">
        <v>66</v>
      </c>
      <c r="F70" s="26" t="s">
        <v>98</v>
      </c>
      <c r="G70" s="26" t="s">
        <v>45</v>
      </c>
      <c r="H70" s="26" t="s">
        <v>59</v>
      </c>
      <c r="I70" s="24" t="s">
        <v>60</v>
      </c>
      <c r="J70" s="27" t="s">
        <v>5</v>
      </c>
      <c r="K70" s="23" t="s">
        <v>5</v>
      </c>
      <c r="L70" s="24" t="str">
        <f t="shared" si="13"/>
        <v>MATCH</v>
      </c>
    </row>
    <row r="71" ht="15.75" customHeight="1"/>
    <row r="72" ht="15.0" customHeight="1">
      <c r="A72" s="31" t="s">
        <v>99</v>
      </c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15"/>
    </row>
    <row r="73" ht="15.0" customHeight="1">
      <c r="A73" s="20">
        <v>64.0</v>
      </c>
      <c r="B73" s="21" t="s">
        <v>99</v>
      </c>
      <c r="C73" s="22" t="s">
        <v>75</v>
      </c>
      <c r="D73" s="22" t="s">
        <v>76</v>
      </c>
      <c r="E73" s="6" t="s">
        <v>43</v>
      </c>
      <c r="F73" s="22" t="s">
        <v>98</v>
      </c>
      <c r="G73" s="22" t="s">
        <v>45</v>
      </c>
      <c r="H73" s="22" t="s">
        <v>59</v>
      </c>
      <c r="I73" s="20" t="s">
        <v>60</v>
      </c>
      <c r="J73" s="10" t="s">
        <v>4</v>
      </c>
      <c r="K73" s="23" t="s">
        <v>4</v>
      </c>
      <c r="L73" s="20" t="str">
        <f t="shared" ref="L73:L75" si="14">IF(K73="","—",IF(J73=K73,"MATCH","MISMATCH"))</f>
        <v>MATCH</v>
      </c>
    </row>
    <row r="74" ht="15.0" customHeight="1">
      <c r="A74" s="24">
        <v>65.0</v>
      </c>
      <c r="B74" s="25" t="s">
        <v>99</v>
      </c>
      <c r="C74" s="26" t="s">
        <v>75</v>
      </c>
      <c r="D74" s="26" t="s">
        <v>76</v>
      </c>
      <c r="E74" s="8" t="s">
        <v>66</v>
      </c>
      <c r="F74" s="26" t="s">
        <v>98</v>
      </c>
      <c r="G74" s="26" t="s">
        <v>45</v>
      </c>
      <c r="H74" s="26" t="s">
        <v>59</v>
      </c>
      <c r="I74" s="24" t="s">
        <v>60</v>
      </c>
      <c r="J74" s="10" t="s">
        <v>4</v>
      </c>
      <c r="K74" s="23" t="s">
        <v>4</v>
      </c>
      <c r="L74" s="24" t="str">
        <f t="shared" si="14"/>
        <v>MATCH</v>
      </c>
    </row>
    <row r="75" ht="15.0" customHeight="1">
      <c r="A75" s="20">
        <v>66.0</v>
      </c>
      <c r="B75" s="21" t="s">
        <v>99</v>
      </c>
      <c r="C75" s="22" t="s">
        <v>51</v>
      </c>
      <c r="D75" s="22" t="s">
        <v>52</v>
      </c>
      <c r="E75" s="6" t="s">
        <v>43</v>
      </c>
      <c r="F75" s="22" t="s">
        <v>98</v>
      </c>
      <c r="G75" s="22" t="s">
        <v>45</v>
      </c>
      <c r="H75" s="22" t="s">
        <v>59</v>
      </c>
      <c r="I75" s="20" t="s">
        <v>60</v>
      </c>
      <c r="J75" s="10" t="s">
        <v>4</v>
      </c>
      <c r="K75" s="23" t="s">
        <v>4</v>
      </c>
      <c r="L75" s="20" t="str">
        <f t="shared" si="14"/>
        <v>MATCH</v>
      </c>
    </row>
    <row r="76" ht="15.75" customHeight="1"/>
    <row r="77" ht="15.0" customHeight="1">
      <c r="A77" s="31" t="s">
        <v>100</v>
      </c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15"/>
    </row>
    <row r="78" ht="15.0" customHeight="1">
      <c r="A78" s="24">
        <v>67.0</v>
      </c>
      <c r="B78" s="25" t="s">
        <v>100</v>
      </c>
      <c r="C78" s="26" t="s">
        <v>41</v>
      </c>
      <c r="D78" s="26" t="s">
        <v>42</v>
      </c>
      <c r="E78" s="8" t="s">
        <v>66</v>
      </c>
      <c r="F78" s="26" t="s">
        <v>67</v>
      </c>
      <c r="G78" s="26" t="s">
        <v>45</v>
      </c>
      <c r="H78" s="26" t="s">
        <v>59</v>
      </c>
      <c r="I78" s="24" t="s">
        <v>60</v>
      </c>
      <c r="J78" s="32" t="s">
        <v>7</v>
      </c>
      <c r="K78" s="23" t="s">
        <v>6</v>
      </c>
      <c r="L78" s="24" t="str">
        <f t="shared" ref="L78:L79" si="15">IF(K78="","—",IF(J78=K78,"MATCH","MISMATCH"))</f>
        <v>MISMATCH</v>
      </c>
    </row>
    <row r="79" ht="15.0" customHeight="1">
      <c r="A79" s="20">
        <v>68.0</v>
      </c>
      <c r="B79" s="21" t="s">
        <v>100</v>
      </c>
      <c r="C79" s="22" t="s">
        <v>41</v>
      </c>
      <c r="D79" s="22" t="s">
        <v>42</v>
      </c>
      <c r="E79" s="6" t="s">
        <v>66</v>
      </c>
      <c r="F79" s="22" t="s">
        <v>69</v>
      </c>
      <c r="G79" s="22" t="s">
        <v>45</v>
      </c>
      <c r="H79" s="22" t="s">
        <v>59</v>
      </c>
      <c r="I79" s="20" t="s">
        <v>60</v>
      </c>
      <c r="J79" s="32" t="s">
        <v>7</v>
      </c>
      <c r="K79" s="23" t="s">
        <v>6</v>
      </c>
      <c r="L79" s="20" t="str">
        <f t="shared" si="15"/>
        <v>MISMATCH</v>
      </c>
    </row>
    <row r="80" ht="15.75" customHeight="1"/>
    <row r="81" ht="15.0" customHeight="1">
      <c r="A81" s="31" t="s">
        <v>101</v>
      </c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5"/>
    </row>
    <row r="82" ht="15.0" customHeight="1">
      <c r="A82" s="24">
        <v>69.0</v>
      </c>
      <c r="B82" s="25" t="s">
        <v>101</v>
      </c>
      <c r="C82" s="26" t="s">
        <v>75</v>
      </c>
      <c r="D82" s="26" t="s">
        <v>76</v>
      </c>
      <c r="E82" s="8" t="s">
        <v>66</v>
      </c>
      <c r="F82" s="26" t="s">
        <v>67</v>
      </c>
      <c r="G82" s="26" t="s">
        <v>45</v>
      </c>
      <c r="H82" s="26" t="s">
        <v>59</v>
      </c>
      <c r="I82" s="24" t="s">
        <v>60</v>
      </c>
      <c r="J82" s="28" t="s">
        <v>6</v>
      </c>
      <c r="K82" s="23" t="s">
        <v>5</v>
      </c>
      <c r="L82" s="24" t="str">
        <f t="shared" ref="L82:L83" si="16">IF(K82="","—",IF(J82=K82,"MATCH","MISMATCH"))</f>
        <v>MISMATCH</v>
      </c>
    </row>
    <row r="83" ht="15.0" customHeight="1">
      <c r="A83" s="20">
        <v>70.0</v>
      </c>
      <c r="B83" s="21" t="s">
        <v>101</v>
      </c>
      <c r="C83" s="22" t="s">
        <v>75</v>
      </c>
      <c r="D83" s="22" t="s">
        <v>76</v>
      </c>
      <c r="E83" s="6" t="s">
        <v>66</v>
      </c>
      <c r="F83" s="22" t="s">
        <v>69</v>
      </c>
      <c r="G83" s="22" t="s">
        <v>45</v>
      </c>
      <c r="H83" s="22" t="s">
        <v>59</v>
      </c>
      <c r="I83" s="20" t="s">
        <v>60</v>
      </c>
      <c r="J83" s="28" t="s">
        <v>6</v>
      </c>
      <c r="K83" s="23" t="s">
        <v>5</v>
      </c>
      <c r="L83" s="20" t="str">
        <f t="shared" si="16"/>
        <v>MISMATCH</v>
      </c>
    </row>
    <row r="84" ht="15.75" customHeight="1"/>
    <row r="85" ht="15.0" customHeight="1">
      <c r="A85" s="31" t="s">
        <v>102</v>
      </c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15"/>
    </row>
    <row r="86" ht="15.0" customHeight="1">
      <c r="A86" s="24">
        <v>71.0</v>
      </c>
      <c r="B86" s="25" t="s">
        <v>102</v>
      </c>
      <c r="C86" s="26" t="s">
        <v>51</v>
      </c>
      <c r="D86" s="26" t="s">
        <v>52</v>
      </c>
      <c r="E86" s="8" t="s">
        <v>66</v>
      </c>
      <c r="F86" s="26" t="s">
        <v>67</v>
      </c>
      <c r="G86" s="26" t="s">
        <v>45</v>
      </c>
      <c r="H86" s="26" t="s">
        <v>59</v>
      </c>
      <c r="I86" s="24" t="s">
        <v>60</v>
      </c>
      <c r="J86" s="28" t="s">
        <v>6</v>
      </c>
      <c r="K86" s="23" t="s">
        <v>5</v>
      </c>
      <c r="L86" s="24" t="str">
        <f t="shared" ref="L86:L87" si="17">IF(K86="","—",IF(J86=K86,"MATCH","MISMATCH"))</f>
        <v>MISMATCH</v>
      </c>
    </row>
    <row r="87" ht="15.0" customHeight="1">
      <c r="A87" s="20">
        <v>72.0</v>
      </c>
      <c r="B87" s="21" t="s">
        <v>102</v>
      </c>
      <c r="C87" s="22" t="s">
        <v>51</v>
      </c>
      <c r="D87" s="22" t="s">
        <v>52</v>
      </c>
      <c r="E87" s="6" t="s">
        <v>66</v>
      </c>
      <c r="F87" s="22" t="s">
        <v>69</v>
      </c>
      <c r="G87" s="22" t="s">
        <v>45</v>
      </c>
      <c r="H87" s="22" t="s">
        <v>59</v>
      </c>
      <c r="I87" s="20" t="s">
        <v>60</v>
      </c>
      <c r="J87" s="28" t="s">
        <v>6</v>
      </c>
      <c r="K87" s="23" t="s">
        <v>5</v>
      </c>
      <c r="L87" s="20" t="str">
        <f t="shared" si="17"/>
        <v>MISMATCH</v>
      </c>
    </row>
    <row r="88" ht="15.75" customHeight="1"/>
    <row r="89" ht="15.0" customHeight="1">
      <c r="A89" s="31" t="s">
        <v>103</v>
      </c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15"/>
    </row>
    <row r="90" ht="15.0" customHeight="1">
      <c r="A90" s="24">
        <v>73.0</v>
      </c>
      <c r="B90" s="25" t="s">
        <v>103</v>
      </c>
      <c r="C90" s="26" t="s">
        <v>41</v>
      </c>
      <c r="D90" s="26" t="s">
        <v>42</v>
      </c>
      <c r="E90" s="8" t="s">
        <v>66</v>
      </c>
      <c r="F90" s="26" t="s">
        <v>44</v>
      </c>
      <c r="G90" s="26" t="s">
        <v>45</v>
      </c>
      <c r="H90" s="26" t="s">
        <v>59</v>
      </c>
      <c r="I90" s="24" t="s">
        <v>60</v>
      </c>
      <c r="J90" s="28" t="s">
        <v>6</v>
      </c>
      <c r="K90" s="23" t="s">
        <v>5</v>
      </c>
      <c r="L90" s="24" t="str">
        <f t="shared" ref="L90:L92" si="18">IF(K90="","—",IF(J90=K90,"MATCH","MISMATCH"))</f>
        <v>MISMATCH</v>
      </c>
    </row>
    <row r="91" ht="15.0" customHeight="1">
      <c r="A91" s="20">
        <v>74.0</v>
      </c>
      <c r="B91" s="21" t="s">
        <v>103</v>
      </c>
      <c r="C91" s="22" t="s">
        <v>41</v>
      </c>
      <c r="D91" s="22" t="s">
        <v>42</v>
      </c>
      <c r="E91" s="6" t="s">
        <v>66</v>
      </c>
      <c r="F91" s="22" t="s">
        <v>83</v>
      </c>
      <c r="G91" s="22" t="s">
        <v>45</v>
      </c>
      <c r="H91" s="22" t="s">
        <v>59</v>
      </c>
      <c r="I91" s="20" t="s">
        <v>60</v>
      </c>
      <c r="J91" s="28" t="s">
        <v>6</v>
      </c>
      <c r="K91" s="23" t="s">
        <v>5</v>
      </c>
      <c r="L91" s="20" t="str">
        <f t="shared" si="18"/>
        <v>MISMATCH</v>
      </c>
    </row>
    <row r="92" ht="15.0" customHeight="1">
      <c r="A92" s="24">
        <v>75.0</v>
      </c>
      <c r="B92" s="25" t="s">
        <v>103</v>
      </c>
      <c r="C92" s="26" t="s">
        <v>41</v>
      </c>
      <c r="D92" s="26" t="s">
        <v>42</v>
      </c>
      <c r="E92" s="8" t="s">
        <v>66</v>
      </c>
      <c r="F92" s="26" t="s">
        <v>48</v>
      </c>
      <c r="G92" s="26" t="s">
        <v>45</v>
      </c>
      <c r="H92" s="26" t="s">
        <v>59</v>
      </c>
      <c r="I92" s="24" t="s">
        <v>60</v>
      </c>
      <c r="J92" s="28" t="s">
        <v>6</v>
      </c>
      <c r="K92" s="23" t="s">
        <v>5</v>
      </c>
      <c r="L92" s="24" t="str">
        <f t="shared" si="18"/>
        <v>MISMATCH</v>
      </c>
    </row>
    <row r="93" ht="15.75" customHeight="1"/>
    <row r="94" ht="15.0" customHeight="1">
      <c r="A94" s="31" t="s">
        <v>104</v>
      </c>
      <c r="B94" s="14"/>
      <c r="C94" s="14"/>
      <c r="D94" s="14"/>
      <c r="E94" s="14"/>
      <c r="F94" s="14"/>
      <c r="G94" s="14"/>
      <c r="H94" s="14"/>
      <c r="I94" s="14"/>
      <c r="J94" s="14"/>
      <c r="K94" s="14"/>
      <c r="L94" s="15"/>
    </row>
    <row r="95" ht="15.0" customHeight="1">
      <c r="A95" s="20">
        <v>76.0</v>
      </c>
      <c r="B95" s="21" t="s">
        <v>104</v>
      </c>
      <c r="C95" s="22" t="s">
        <v>75</v>
      </c>
      <c r="D95" s="22" t="s">
        <v>76</v>
      </c>
      <c r="E95" s="6" t="s">
        <v>66</v>
      </c>
      <c r="F95" s="22" t="s">
        <v>44</v>
      </c>
      <c r="G95" s="22" t="s">
        <v>45</v>
      </c>
      <c r="H95" s="22" t="s">
        <v>59</v>
      </c>
      <c r="I95" s="20" t="s">
        <v>60</v>
      </c>
      <c r="J95" s="27" t="s">
        <v>5</v>
      </c>
      <c r="K95" s="23" t="s">
        <v>4</v>
      </c>
      <c r="L95" s="20" t="str">
        <f t="shared" ref="L95:L97" si="19">IF(K95="","—",IF(J95=K95,"MATCH","MISMATCH"))</f>
        <v>MISMATCH</v>
      </c>
    </row>
    <row r="96" ht="15.0" customHeight="1">
      <c r="A96" s="24">
        <v>77.0</v>
      </c>
      <c r="B96" s="25" t="s">
        <v>104</v>
      </c>
      <c r="C96" s="26" t="s">
        <v>75</v>
      </c>
      <c r="D96" s="26" t="s">
        <v>76</v>
      </c>
      <c r="E96" s="8" t="s">
        <v>66</v>
      </c>
      <c r="F96" s="26" t="s">
        <v>83</v>
      </c>
      <c r="G96" s="26" t="s">
        <v>45</v>
      </c>
      <c r="H96" s="26" t="s">
        <v>59</v>
      </c>
      <c r="I96" s="24" t="s">
        <v>60</v>
      </c>
      <c r="J96" s="27" t="s">
        <v>5</v>
      </c>
      <c r="K96" s="23" t="s">
        <v>4</v>
      </c>
      <c r="L96" s="24" t="str">
        <f t="shared" si="19"/>
        <v>MISMATCH</v>
      </c>
    </row>
    <row r="97" ht="15.0" customHeight="1">
      <c r="A97" s="20">
        <v>78.0</v>
      </c>
      <c r="B97" s="21" t="s">
        <v>104</v>
      </c>
      <c r="C97" s="22" t="s">
        <v>75</v>
      </c>
      <c r="D97" s="22" t="s">
        <v>76</v>
      </c>
      <c r="E97" s="6" t="s">
        <v>66</v>
      </c>
      <c r="F97" s="22" t="s">
        <v>48</v>
      </c>
      <c r="G97" s="22" t="s">
        <v>45</v>
      </c>
      <c r="H97" s="22" t="s">
        <v>59</v>
      </c>
      <c r="I97" s="20" t="s">
        <v>60</v>
      </c>
      <c r="J97" s="27" t="s">
        <v>5</v>
      </c>
      <c r="K97" s="23" t="s">
        <v>4</v>
      </c>
      <c r="L97" s="20" t="str">
        <f t="shared" si="19"/>
        <v>MISMATCH</v>
      </c>
    </row>
    <row r="98" ht="15.75" customHeight="1"/>
    <row r="99" ht="15.0" customHeight="1">
      <c r="A99" s="31" t="s">
        <v>105</v>
      </c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15"/>
    </row>
    <row r="100" ht="15.0" customHeight="1">
      <c r="A100" s="24">
        <v>79.0</v>
      </c>
      <c r="B100" s="25" t="s">
        <v>105</v>
      </c>
      <c r="C100" s="26" t="s">
        <v>41</v>
      </c>
      <c r="D100" s="26" t="s">
        <v>42</v>
      </c>
      <c r="E100" s="8" t="s">
        <v>43</v>
      </c>
      <c r="F100" s="26" t="s">
        <v>49</v>
      </c>
      <c r="G100" s="26" t="s">
        <v>62</v>
      </c>
      <c r="H100" s="26" t="s">
        <v>71</v>
      </c>
      <c r="I100" s="24" t="s">
        <v>106</v>
      </c>
      <c r="J100" s="27" t="s">
        <v>5</v>
      </c>
      <c r="K100" s="23" t="s">
        <v>6</v>
      </c>
      <c r="L100" s="24" t="str">
        <f t="shared" ref="L100:L102" si="20">IF(K100="","—",IF(J100=K100,"MATCH","MISMATCH"))</f>
        <v>MISMATCH</v>
      </c>
    </row>
    <row r="101" ht="15.0" customHeight="1">
      <c r="A101" s="20">
        <v>80.0</v>
      </c>
      <c r="B101" s="21" t="s">
        <v>105</v>
      </c>
      <c r="C101" s="22" t="s">
        <v>41</v>
      </c>
      <c r="D101" s="22" t="s">
        <v>42</v>
      </c>
      <c r="E101" s="6" t="s">
        <v>43</v>
      </c>
      <c r="F101" s="22" t="s">
        <v>107</v>
      </c>
      <c r="G101" s="22" t="s">
        <v>62</v>
      </c>
      <c r="H101" s="22" t="s">
        <v>71</v>
      </c>
      <c r="I101" s="20" t="s">
        <v>106</v>
      </c>
      <c r="J101" s="27" t="s">
        <v>5</v>
      </c>
      <c r="K101" s="23" t="s">
        <v>6</v>
      </c>
      <c r="L101" s="20" t="str">
        <f t="shared" si="20"/>
        <v>MISMATCH</v>
      </c>
    </row>
    <row r="102" ht="15.0" customHeight="1">
      <c r="A102" s="24">
        <v>81.0</v>
      </c>
      <c r="B102" s="25" t="s">
        <v>105</v>
      </c>
      <c r="C102" s="26" t="s">
        <v>75</v>
      </c>
      <c r="D102" s="26" t="s">
        <v>76</v>
      </c>
      <c r="E102" s="8" t="s">
        <v>43</v>
      </c>
      <c r="F102" s="26" t="s">
        <v>49</v>
      </c>
      <c r="G102" s="26" t="s">
        <v>62</v>
      </c>
      <c r="H102" s="26" t="s">
        <v>71</v>
      </c>
      <c r="I102" s="24" t="s">
        <v>106</v>
      </c>
      <c r="J102" s="27" t="s">
        <v>5</v>
      </c>
      <c r="K102" s="23" t="s">
        <v>6</v>
      </c>
      <c r="L102" s="24" t="str">
        <f t="shared" si="20"/>
        <v>MISMATCH</v>
      </c>
    </row>
    <row r="103" ht="15.75" customHeight="1"/>
    <row r="104" ht="15.0" customHeight="1">
      <c r="A104" s="31" t="s">
        <v>108</v>
      </c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15"/>
    </row>
    <row r="105" ht="15.0" customHeight="1">
      <c r="A105" s="20">
        <v>82.0</v>
      </c>
      <c r="B105" s="21" t="s">
        <v>108</v>
      </c>
      <c r="C105" s="22" t="s">
        <v>41</v>
      </c>
      <c r="D105" s="22" t="s">
        <v>42</v>
      </c>
      <c r="E105" s="6" t="s">
        <v>43</v>
      </c>
      <c r="F105" s="22" t="s">
        <v>48</v>
      </c>
      <c r="G105" s="22" t="s">
        <v>62</v>
      </c>
      <c r="H105" s="22" t="s">
        <v>71</v>
      </c>
      <c r="I105" s="20" t="s">
        <v>106</v>
      </c>
      <c r="J105" s="28" t="s">
        <v>6</v>
      </c>
      <c r="K105" s="23" t="s">
        <v>6</v>
      </c>
      <c r="L105" s="20" t="str">
        <f t="shared" ref="L105:L107" si="21">IF(K105="","—",IF(J105=K105,"MATCH","MISMATCH"))</f>
        <v>MATCH</v>
      </c>
    </row>
    <row r="106" ht="15.0" customHeight="1">
      <c r="A106" s="24">
        <v>83.0</v>
      </c>
      <c r="B106" s="25" t="s">
        <v>108</v>
      </c>
      <c r="C106" s="26" t="s">
        <v>41</v>
      </c>
      <c r="D106" s="26" t="s">
        <v>42</v>
      </c>
      <c r="E106" s="8" t="s">
        <v>43</v>
      </c>
      <c r="F106" s="26" t="s">
        <v>57</v>
      </c>
      <c r="G106" s="26" t="s">
        <v>62</v>
      </c>
      <c r="H106" s="26" t="s">
        <v>71</v>
      </c>
      <c r="I106" s="24" t="s">
        <v>106</v>
      </c>
      <c r="J106" s="28" t="s">
        <v>6</v>
      </c>
      <c r="K106" s="23" t="s">
        <v>6</v>
      </c>
      <c r="L106" s="24" t="str">
        <f t="shared" si="21"/>
        <v>MATCH</v>
      </c>
    </row>
    <row r="107" ht="15.0" customHeight="1">
      <c r="A107" s="20">
        <v>84.0</v>
      </c>
      <c r="B107" s="21" t="s">
        <v>108</v>
      </c>
      <c r="C107" s="22" t="s">
        <v>41</v>
      </c>
      <c r="D107" s="22" t="s">
        <v>42</v>
      </c>
      <c r="E107" s="6" t="s">
        <v>43</v>
      </c>
      <c r="F107" s="22" t="s">
        <v>54</v>
      </c>
      <c r="G107" s="22" t="s">
        <v>62</v>
      </c>
      <c r="H107" s="22" t="s">
        <v>71</v>
      </c>
      <c r="I107" s="20" t="s">
        <v>106</v>
      </c>
      <c r="J107" s="28" t="s">
        <v>6</v>
      </c>
      <c r="K107" s="23" t="s">
        <v>6</v>
      </c>
      <c r="L107" s="20" t="str">
        <f t="shared" si="21"/>
        <v>MATCH</v>
      </c>
    </row>
    <row r="108" ht="15.75" customHeight="1"/>
    <row r="109" ht="15.0" customHeight="1">
      <c r="A109" s="31" t="s">
        <v>109</v>
      </c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5"/>
    </row>
    <row r="110" ht="15.0" customHeight="1">
      <c r="A110" s="24">
        <v>85.0</v>
      </c>
      <c r="B110" s="25" t="s">
        <v>109</v>
      </c>
      <c r="C110" s="26" t="s">
        <v>41</v>
      </c>
      <c r="D110" s="26" t="s">
        <v>42</v>
      </c>
      <c r="E110" s="8" t="s">
        <v>43</v>
      </c>
      <c r="F110" s="26" t="s">
        <v>44</v>
      </c>
      <c r="G110" s="26" t="s">
        <v>62</v>
      </c>
      <c r="H110" s="26" t="s">
        <v>110</v>
      </c>
      <c r="I110" s="24" t="s">
        <v>106</v>
      </c>
      <c r="J110" s="32" t="s">
        <v>7</v>
      </c>
      <c r="K110" s="23" t="s">
        <v>7</v>
      </c>
      <c r="L110" s="24" t="str">
        <f t="shared" ref="L110:L112" si="22">IF(K110="","—",IF(J110=K110,"MATCH","MISMATCH"))</f>
        <v>MATCH</v>
      </c>
    </row>
    <row r="111" ht="15.0" customHeight="1">
      <c r="A111" s="20">
        <v>86.0</v>
      </c>
      <c r="B111" s="21" t="s">
        <v>109</v>
      </c>
      <c r="C111" s="22" t="s">
        <v>41</v>
      </c>
      <c r="D111" s="22" t="s">
        <v>42</v>
      </c>
      <c r="E111" s="6" t="s">
        <v>43</v>
      </c>
      <c r="F111" s="22" t="s">
        <v>48</v>
      </c>
      <c r="G111" s="22" t="s">
        <v>62</v>
      </c>
      <c r="H111" s="22" t="s">
        <v>110</v>
      </c>
      <c r="I111" s="20" t="s">
        <v>106</v>
      </c>
      <c r="J111" s="32" t="s">
        <v>7</v>
      </c>
      <c r="K111" s="23" t="s">
        <v>7</v>
      </c>
      <c r="L111" s="20" t="str">
        <f t="shared" si="22"/>
        <v>MATCH</v>
      </c>
    </row>
    <row r="112" ht="15.0" customHeight="1">
      <c r="A112" s="24">
        <v>87.0</v>
      </c>
      <c r="B112" s="25" t="s">
        <v>109</v>
      </c>
      <c r="C112" s="26" t="s">
        <v>41</v>
      </c>
      <c r="D112" s="26" t="s">
        <v>42</v>
      </c>
      <c r="E112" s="8" t="s">
        <v>43</v>
      </c>
      <c r="F112" s="26" t="s">
        <v>49</v>
      </c>
      <c r="G112" s="26" t="s">
        <v>62</v>
      </c>
      <c r="H112" s="26" t="s">
        <v>68</v>
      </c>
      <c r="I112" s="24" t="s">
        <v>106</v>
      </c>
      <c r="J112" s="32" t="s">
        <v>7</v>
      </c>
      <c r="K112" s="23" t="s">
        <v>7</v>
      </c>
      <c r="L112" s="24" t="str">
        <f t="shared" si="22"/>
        <v>MATCH</v>
      </c>
    </row>
    <row r="113" ht="15.75" customHeight="1"/>
    <row r="114" ht="15.0" customHeight="1">
      <c r="A114" s="31" t="s">
        <v>111</v>
      </c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15"/>
    </row>
    <row r="115" ht="15.0" customHeight="1">
      <c r="A115" s="20">
        <v>88.0</v>
      </c>
      <c r="B115" s="21" t="s">
        <v>111</v>
      </c>
      <c r="C115" s="22" t="s">
        <v>41</v>
      </c>
      <c r="D115" s="22" t="s">
        <v>42</v>
      </c>
      <c r="E115" s="6" t="s">
        <v>43</v>
      </c>
      <c r="F115" s="22" t="s">
        <v>44</v>
      </c>
      <c r="G115" s="22" t="s">
        <v>62</v>
      </c>
      <c r="H115" s="22" t="s">
        <v>63</v>
      </c>
      <c r="I115" s="20" t="s">
        <v>106</v>
      </c>
      <c r="J115" s="28" t="s">
        <v>6</v>
      </c>
      <c r="K115" s="23" t="s">
        <v>6</v>
      </c>
      <c r="L115" s="20" t="str">
        <f t="shared" ref="L115:L117" si="23">IF(K115="","—",IF(J115=K115,"MATCH","MISMATCH"))</f>
        <v>MATCH</v>
      </c>
    </row>
    <row r="116" ht="15.0" customHeight="1">
      <c r="A116" s="24">
        <v>89.0</v>
      </c>
      <c r="B116" s="25" t="s">
        <v>111</v>
      </c>
      <c r="C116" s="26" t="s">
        <v>41</v>
      </c>
      <c r="D116" s="26" t="s">
        <v>42</v>
      </c>
      <c r="E116" s="8" t="s">
        <v>43</v>
      </c>
      <c r="F116" s="26" t="s">
        <v>48</v>
      </c>
      <c r="G116" s="26" t="s">
        <v>62</v>
      </c>
      <c r="H116" s="26" t="s">
        <v>63</v>
      </c>
      <c r="I116" s="24" t="s">
        <v>106</v>
      </c>
      <c r="J116" s="28" t="s">
        <v>6</v>
      </c>
      <c r="K116" s="23" t="s">
        <v>6</v>
      </c>
      <c r="L116" s="24" t="str">
        <f t="shared" si="23"/>
        <v>MATCH</v>
      </c>
    </row>
    <row r="117" ht="15.0" customHeight="1">
      <c r="A117" s="20">
        <v>90.0</v>
      </c>
      <c r="B117" s="21" t="s">
        <v>111</v>
      </c>
      <c r="C117" s="22" t="s">
        <v>41</v>
      </c>
      <c r="D117" s="22" t="s">
        <v>42</v>
      </c>
      <c r="E117" s="6" t="s">
        <v>43</v>
      </c>
      <c r="F117" s="22" t="s">
        <v>49</v>
      </c>
      <c r="G117" s="22" t="s">
        <v>62</v>
      </c>
      <c r="H117" s="22" t="s">
        <v>63</v>
      </c>
      <c r="I117" s="20" t="s">
        <v>106</v>
      </c>
      <c r="J117" s="28" t="s">
        <v>6</v>
      </c>
      <c r="K117" s="23" t="s">
        <v>6</v>
      </c>
      <c r="L117" s="20" t="str">
        <f t="shared" si="23"/>
        <v>MATCH</v>
      </c>
    </row>
    <row r="118" ht="15.75" customHeight="1"/>
    <row r="119" ht="15.0" customHeight="1">
      <c r="A119" s="31" t="s">
        <v>112</v>
      </c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L119" s="15"/>
    </row>
    <row r="120" ht="15.0" customHeight="1">
      <c r="A120" s="24">
        <v>91.0</v>
      </c>
      <c r="B120" s="25" t="s">
        <v>112</v>
      </c>
      <c r="C120" s="26" t="s">
        <v>41</v>
      </c>
      <c r="D120" s="26" t="s">
        <v>42</v>
      </c>
      <c r="E120" s="8" t="s">
        <v>43</v>
      </c>
      <c r="F120" s="26" t="s">
        <v>44</v>
      </c>
      <c r="G120" s="26" t="s">
        <v>62</v>
      </c>
      <c r="H120" s="26" t="s">
        <v>73</v>
      </c>
      <c r="I120" s="24" t="s">
        <v>106</v>
      </c>
      <c r="J120" s="32" t="s">
        <v>7</v>
      </c>
      <c r="K120" s="23" t="s">
        <v>7</v>
      </c>
      <c r="L120" s="24" t="str">
        <f t="shared" ref="L120:L122" si="24">IF(K120="","—",IF(J120=K120,"MATCH","MISMATCH"))</f>
        <v>MATCH</v>
      </c>
    </row>
    <row r="121" ht="15.0" customHeight="1">
      <c r="A121" s="20">
        <v>92.0</v>
      </c>
      <c r="B121" s="21" t="s">
        <v>112</v>
      </c>
      <c r="C121" s="22" t="s">
        <v>41</v>
      </c>
      <c r="D121" s="22" t="s">
        <v>42</v>
      </c>
      <c r="E121" s="6" t="s">
        <v>43</v>
      </c>
      <c r="F121" s="22" t="s">
        <v>48</v>
      </c>
      <c r="G121" s="22" t="s">
        <v>62</v>
      </c>
      <c r="H121" s="22" t="s">
        <v>73</v>
      </c>
      <c r="I121" s="20" t="s">
        <v>106</v>
      </c>
      <c r="J121" s="32" t="s">
        <v>7</v>
      </c>
      <c r="K121" s="23" t="s">
        <v>7</v>
      </c>
      <c r="L121" s="20" t="str">
        <f t="shared" si="24"/>
        <v>MATCH</v>
      </c>
    </row>
    <row r="122" ht="15.0" customHeight="1">
      <c r="A122" s="24">
        <v>93.0</v>
      </c>
      <c r="B122" s="25" t="s">
        <v>112</v>
      </c>
      <c r="C122" s="26" t="s">
        <v>41</v>
      </c>
      <c r="D122" s="26" t="s">
        <v>42</v>
      </c>
      <c r="E122" s="8" t="s">
        <v>43</v>
      </c>
      <c r="F122" s="26" t="s">
        <v>49</v>
      </c>
      <c r="G122" s="26" t="s">
        <v>62</v>
      </c>
      <c r="H122" s="26" t="s">
        <v>73</v>
      </c>
      <c r="I122" s="24" t="s">
        <v>106</v>
      </c>
      <c r="J122" s="32" t="s">
        <v>7</v>
      </c>
      <c r="K122" s="23" t="s">
        <v>7</v>
      </c>
      <c r="L122" s="24" t="str">
        <f t="shared" si="24"/>
        <v>MATCH</v>
      </c>
    </row>
    <row r="123" ht="15.75" customHeight="1"/>
    <row r="124" ht="15.0" customHeight="1">
      <c r="A124" s="31" t="s">
        <v>113</v>
      </c>
      <c r="B124" s="14"/>
      <c r="C124" s="14"/>
      <c r="D124" s="14"/>
      <c r="E124" s="14"/>
      <c r="F124" s="14"/>
      <c r="G124" s="14"/>
      <c r="H124" s="14"/>
      <c r="I124" s="14"/>
      <c r="J124" s="14"/>
      <c r="K124" s="14"/>
      <c r="L124" s="15"/>
    </row>
    <row r="125" ht="15.0" customHeight="1">
      <c r="A125" s="20">
        <v>94.0</v>
      </c>
      <c r="B125" s="21" t="s">
        <v>113</v>
      </c>
      <c r="C125" s="22" t="s">
        <v>41</v>
      </c>
      <c r="D125" s="22" t="s">
        <v>42</v>
      </c>
      <c r="E125" s="6" t="s">
        <v>66</v>
      </c>
      <c r="F125" s="22" t="s">
        <v>44</v>
      </c>
      <c r="G125" s="22" t="s">
        <v>62</v>
      </c>
      <c r="H125" s="22" t="s">
        <v>63</v>
      </c>
      <c r="I125" s="20" t="s">
        <v>106</v>
      </c>
      <c r="J125" s="32" t="s">
        <v>7</v>
      </c>
      <c r="K125" s="23" t="s">
        <v>7</v>
      </c>
      <c r="L125" s="20" t="str">
        <f t="shared" ref="L125:L127" si="25">IF(K125="","—",IF(J125=K125,"MATCH","MISMATCH"))</f>
        <v>MATCH</v>
      </c>
    </row>
    <row r="126" ht="15.0" customHeight="1">
      <c r="A126" s="24">
        <v>95.0</v>
      </c>
      <c r="B126" s="25" t="s">
        <v>113</v>
      </c>
      <c r="C126" s="26" t="s">
        <v>41</v>
      </c>
      <c r="D126" s="26" t="s">
        <v>42</v>
      </c>
      <c r="E126" s="8" t="s">
        <v>66</v>
      </c>
      <c r="F126" s="26" t="s">
        <v>83</v>
      </c>
      <c r="G126" s="26" t="s">
        <v>62</v>
      </c>
      <c r="H126" s="26" t="s">
        <v>63</v>
      </c>
      <c r="I126" s="24" t="s">
        <v>106</v>
      </c>
      <c r="J126" s="32" t="s">
        <v>7</v>
      </c>
      <c r="K126" s="23" t="s">
        <v>7</v>
      </c>
      <c r="L126" s="24" t="str">
        <f t="shared" si="25"/>
        <v>MATCH</v>
      </c>
    </row>
    <row r="127" ht="15.0" customHeight="1">
      <c r="A127" s="20">
        <v>96.0</v>
      </c>
      <c r="B127" s="21" t="s">
        <v>113</v>
      </c>
      <c r="C127" s="22" t="s">
        <v>41</v>
      </c>
      <c r="D127" s="22" t="s">
        <v>42</v>
      </c>
      <c r="E127" s="6" t="s">
        <v>66</v>
      </c>
      <c r="F127" s="22" t="s">
        <v>48</v>
      </c>
      <c r="G127" s="22" t="s">
        <v>62</v>
      </c>
      <c r="H127" s="22" t="s">
        <v>63</v>
      </c>
      <c r="I127" s="20" t="s">
        <v>106</v>
      </c>
      <c r="J127" s="32" t="s">
        <v>7</v>
      </c>
      <c r="K127" s="23" t="s">
        <v>7</v>
      </c>
      <c r="L127" s="20" t="str">
        <f t="shared" si="25"/>
        <v>MATCH</v>
      </c>
    </row>
    <row r="128" ht="15.75" customHeight="1"/>
    <row r="129" ht="15.0" customHeight="1">
      <c r="A129" s="31" t="s">
        <v>114</v>
      </c>
      <c r="B129" s="14"/>
      <c r="C129" s="14"/>
      <c r="D129" s="14"/>
      <c r="E129" s="14"/>
      <c r="F129" s="14"/>
      <c r="G129" s="14"/>
      <c r="H129" s="14"/>
      <c r="I129" s="14"/>
      <c r="J129" s="14"/>
      <c r="K129" s="14"/>
      <c r="L129" s="15"/>
    </row>
    <row r="130" ht="15.0" customHeight="1">
      <c r="A130" s="24">
        <v>97.0</v>
      </c>
      <c r="B130" s="25" t="s">
        <v>114</v>
      </c>
      <c r="C130" s="26" t="s">
        <v>51</v>
      </c>
      <c r="D130" s="26" t="s">
        <v>52</v>
      </c>
      <c r="E130" s="8" t="s">
        <v>66</v>
      </c>
      <c r="F130" s="26" t="s">
        <v>49</v>
      </c>
      <c r="G130" s="26" t="s">
        <v>62</v>
      </c>
      <c r="H130" s="26" t="s">
        <v>68</v>
      </c>
      <c r="I130" s="24" t="s">
        <v>106</v>
      </c>
      <c r="J130" s="32" t="s">
        <v>7</v>
      </c>
      <c r="K130" s="23" t="s">
        <v>6</v>
      </c>
      <c r="L130" s="24" t="str">
        <f t="shared" ref="L130:L132" si="26">IF(K130="","—",IF(J130=K130,"MATCH","MISMATCH"))</f>
        <v>MISMATCH</v>
      </c>
    </row>
    <row r="131" ht="15.0" customHeight="1">
      <c r="A131" s="20">
        <v>98.0</v>
      </c>
      <c r="B131" s="21" t="s">
        <v>114</v>
      </c>
      <c r="C131" s="22" t="s">
        <v>51</v>
      </c>
      <c r="D131" s="22" t="s">
        <v>52</v>
      </c>
      <c r="E131" s="6" t="s">
        <v>66</v>
      </c>
      <c r="F131" s="22" t="s">
        <v>107</v>
      </c>
      <c r="G131" s="22" t="s">
        <v>62</v>
      </c>
      <c r="H131" s="22" t="s">
        <v>68</v>
      </c>
      <c r="I131" s="20" t="s">
        <v>106</v>
      </c>
      <c r="J131" s="32" t="s">
        <v>7</v>
      </c>
      <c r="K131" s="23" t="s">
        <v>6</v>
      </c>
      <c r="L131" s="20" t="str">
        <f t="shared" si="26"/>
        <v>MISMATCH</v>
      </c>
    </row>
    <row r="132" ht="15.0" customHeight="1">
      <c r="A132" s="24">
        <v>99.0</v>
      </c>
      <c r="B132" s="25" t="s">
        <v>114</v>
      </c>
      <c r="C132" s="26" t="s">
        <v>51</v>
      </c>
      <c r="D132" s="26" t="s">
        <v>52</v>
      </c>
      <c r="E132" s="8" t="s">
        <v>66</v>
      </c>
      <c r="F132" s="26" t="s">
        <v>115</v>
      </c>
      <c r="G132" s="26" t="s">
        <v>62</v>
      </c>
      <c r="H132" s="26" t="s">
        <v>68</v>
      </c>
      <c r="I132" s="24" t="s">
        <v>106</v>
      </c>
      <c r="J132" s="32" t="s">
        <v>7</v>
      </c>
      <c r="K132" s="23" t="s">
        <v>7</v>
      </c>
      <c r="L132" s="24" t="str">
        <f t="shared" si="26"/>
        <v>MATCH</v>
      </c>
    </row>
    <row r="133" ht="15.75" customHeight="1"/>
    <row r="134" ht="15.0" customHeight="1">
      <c r="A134" s="31" t="s">
        <v>116</v>
      </c>
      <c r="B134" s="14"/>
      <c r="C134" s="14"/>
      <c r="D134" s="14"/>
      <c r="E134" s="14"/>
      <c r="F134" s="14"/>
      <c r="G134" s="14"/>
      <c r="H134" s="14"/>
      <c r="I134" s="14"/>
      <c r="J134" s="14"/>
      <c r="K134" s="14"/>
      <c r="L134" s="15"/>
    </row>
    <row r="135" ht="15.0" customHeight="1">
      <c r="A135" s="20">
        <v>100.0</v>
      </c>
      <c r="B135" s="21" t="s">
        <v>116</v>
      </c>
      <c r="C135" s="22" t="s">
        <v>51</v>
      </c>
      <c r="D135" s="22" t="s">
        <v>52</v>
      </c>
      <c r="E135" s="6" t="s">
        <v>66</v>
      </c>
      <c r="F135" s="22" t="s">
        <v>44</v>
      </c>
      <c r="G135" s="22" t="s">
        <v>62</v>
      </c>
      <c r="H135" s="22" t="s">
        <v>63</v>
      </c>
      <c r="I135" s="20" t="s">
        <v>106</v>
      </c>
      <c r="J135" s="28" t="s">
        <v>6</v>
      </c>
      <c r="K135" s="23" t="s">
        <v>6</v>
      </c>
      <c r="L135" s="20" t="str">
        <f t="shared" ref="L135:L137" si="27">IF(K135="","—",IF(J135=K135,"MATCH","MISMATCH"))</f>
        <v>MATCH</v>
      </c>
    </row>
    <row r="136" ht="15.0" customHeight="1">
      <c r="A136" s="24">
        <v>101.0</v>
      </c>
      <c r="B136" s="25" t="s">
        <v>116</v>
      </c>
      <c r="C136" s="26" t="s">
        <v>51</v>
      </c>
      <c r="D136" s="26" t="s">
        <v>52</v>
      </c>
      <c r="E136" s="8" t="s">
        <v>66</v>
      </c>
      <c r="F136" s="26" t="s">
        <v>83</v>
      </c>
      <c r="G136" s="26" t="s">
        <v>62</v>
      </c>
      <c r="H136" s="26" t="s">
        <v>63</v>
      </c>
      <c r="I136" s="24" t="s">
        <v>106</v>
      </c>
      <c r="J136" s="28" t="s">
        <v>6</v>
      </c>
      <c r="K136" s="23" t="s">
        <v>6</v>
      </c>
      <c r="L136" s="24" t="str">
        <f t="shared" si="27"/>
        <v>MATCH</v>
      </c>
    </row>
    <row r="137" ht="15.0" customHeight="1">
      <c r="A137" s="20">
        <v>102.0</v>
      </c>
      <c r="B137" s="21" t="s">
        <v>116</v>
      </c>
      <c r="C137" s="22" t="s">
        <v>51</v>
      </c>
      <c r="D137" s="22" t="s">
        <v>52</v>
      </c>
      <c r="E137" s="6" t="s">
        <v>66</v>
      </c>
      <c r="F137" s="22" t="s">
        <v>48</v>
      </c>
      <c r="G137" s="22" t="s">
        <v>62</v>
      </c>
      <c r="H137" s="22" t="s">
        <v>63</v>
      </c>
      <c r="I137" s="20" t="s">
        <v>106</v>
      </c>
      <c r="J137" s="28" t="s">
        <v>6</v>
      </c>
      <c r="K137" s="23" t="s">
        <v>6</v>
      </c>
      <c r="L137" s="20" t="str">
        <f t="shared" si="27"/>
        <v>MATCH</v>
      </c>
    </row>
    <row r="138" ht="15.75" customHeight="1"/>
    <row r="139" ht="15.0" customHeight="1">
      <c r="A139" s="31" t="s">
        <v>117</v>
      </c>
      <c r="B139" s="14"/>
      <c r="C139" s="14"/>
      <c r="D139" s="14"/>
      <c r="E139" s="14"/>
      <c r="F139" s="14"/>
      <c r="G139" s="14"/>
      <c r="H139" s="14"/>
      <c r="I139" s="14"/>
      <c r="J139" s="14"/>
      <c r="K139" s="14"/>
      <c r="L139" s="15"/>
    </row>
    <row r="140" ht="15.0" customHeight="1">
      <c r="A140" s="24">
        <v>103.0</v>
      </c>
      <c r="B140" s="25" t="s">
        <v>117</v>
      </c>
      <c r="C140" s="26" t="s">
        <v>51</v>
      </c>
      <c r="D140" s="26" t="s">
        <v>52</v>
      </c>
      <c r="E140" s="8" t="s">
        <v>66</v>
      </c>
      <c r="F140" s="26" t="s">
        <v>49</v>
      </c>
      <c r="G140" s="26" t="s">
        <v>62</v>
      </c>
      <c r="H140" s="26" t="s">
        <v>63</v>
      </c>
      <c r="I140" s="24" t="s">
        <v>106</v>
      </c>
      <c r="J140" s="28" t="s">
        <v>6</v>
      </c>
      <c r="K140" s="23" t="s">
        <v>6</v>
      </c>
      <c r="L140" s="24" t="str">
        <f t="shared" ref="L140:L142" si="28">IF(K140="","—",IF(J140=K140,"MATCH","MISMATCH"))</f>
        <v>MATCH</v>
      </c>
    </row>
    <row r="141" ht="15.0" customHeight="1">
      <c r="A141" s="20">
        <v>104.0</v>
      </c>
      <c r="B141" s="21" t="s">
        <v>117</v>
      </c>
      <c r="C141" s="22" t="s">
        <v>51</v>
      </c>
      <c r="D141" s="22" t="s">
        <v>52</v>
      </c>
      <c r="E141" s="6" t="s">
        <v>66</v>
      </c>
      <c r="F141" s="22" t="s">
        <v>107</v>
      </c>
      <c r="G141" s="22" t="s">
        <v>62</v>
      </c>
      <c r="H141" s="22" t="s">
        <v>63</v>
      </c>
      <c r="I141" s="20" t="s">
        <v>106</v>
      </c>
      <c r="J141" s="28" t="s">
        <v>6</v>
      </c>
      <c r="K141" s="23" t="s">
        <v>6</v>
      </c>
      <c r="L141" s="20" t="str">
        <f t="shared" si="28"/>
        <v>MATCH</v>
      </c>
    </row>
    <row r="142" ht="15.0" customHeight="1">
      <c r="A142" s="24">
        <v>105.0</v>
      </c>
      <c r="B142" s="25" t="s">
        <v>117</v>
      </c>
      <c r="C142" s="26" t="s">
        <v>51</v>
      </c>
      <c r="D142" s="26" t="s">
        <v>52</v>
      </c>
      <c r="E142" s="8" t="s">
        <v>66</v>
      </c>
      <c r="F142" s="26" t="s">
        <v>115</v>
      </c>
      <c r="G142" s="26" t="s">
        <v>62</v>
      </c>
      <c r="H142" s="26" t="s">
        <v>63</v>
      </c>
      <c r="I142" s="24" t="s">
        <v>106</v>
      </c>
      <c r="J142" s="28" t="s">
        <v>6</v>
      </c>
      <c r="K142" s="23" t="s">
        <v>6</v>
      </c>
      <c r="L142" s="24" t="str">
        <f t="shared" si="28"/>
        <v>MATCH</v>
      </c>
    </row>
    <row r="143" ht="15.75" customHeight="1"/>
    <row r="144" ht="13.5" customHeight="1">
      <c r="A144" s="29" t="s">
        <v>118</v>
      </c>
      <c r="B144" s="14"/>
      <c r="C144" s="14"/>
      <c r="D144" s="14"/>
      <c r="E144" s="14"/>
      <c r="F144" s="14"/>
      <c r="G144" s="14"/>
      <c r="H144" s="14"/>
      <c r="I144" s="14"/>
      <c r="J144" s="14"/>
      <c r="K144" s="14"/>
      <c r="L144" s="15"/>
    </row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3">
    <mergeCell ref="A1:L1"/>
    <mergeCell ref="A2:L2"/>
    <mergeCell ref="A4:L4"/>
    <mergeCell ref="A9:L9"/>
    <mergeCell ref="A14:L14"/>
    <mergeCell ref="A19:L19"/>
    <mergeCell ref="A24:L24"/>
    <mergeCell ref="A29:L29"/>
    <mergeCell ref="A34:L34"/>
    <mergeCell ref="A39:L39"/>
    <mergeCell ref="A43:L43"/>
    <mergeCell ref="A48:L48"/>
    <mergeCell ref="A51:L51"/>
    <mergeCell ref="A56:L56"/>
    <mergeCell ref="A59:L59"/>
    <mergeCell ref="A63:L63"/>
    <mergeCell ref="A68:L68"/>
    <mergeCell ref="A72:L72"/>
    <mergeCell ref="A77:L77"/>
    <mergeCell ref="A81:L81"/>
    <mergeCell ref="A85:L85"/>
    <mergeCell ref="A124:L124"/>
    <mergeCell ref="A129:L129"/>
    <mergeCell ref="A134:L134"/>
    <mergeCell ref="A139:L139"/>
    <mergeCell ref="A144:L144"/>
    <mergeCell ref="A89:L89"/>
    <mergeCell ref="A94:L94"/>
    <mergeCell ref="A99:L99"/>
    <mergeCell ref="A104:L104"/>
    <mergeCell ref="A109:L109"/>
    <mergeCell ref="A114:L114"/>
    <mergeCell ref="A119:L119"/>
  </mergeCell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5.0"/>
    <col customWidth="1" min="2" max="2" width="34.0"/>
    <col customWidth="1" min="3" max="3" width="26.0"/>
    <col customWidth="1" min="4" max="4" width="32.0"/>
    <col customWidth="1" min="5" max="5" width="14.0"/>
    <col customWidth="1" min="6" max="6" width="38.0"/>
    <col customWidth="1" min="7" max="7" width="28.0"/>
    <col customWidth="1" min="8" max="8" width="52.0"/>
    <col customWidth="1" min="9" max="9" width="10.0"/>
    <col customWidth="1" min="10" max="10" width="14.0"/>
    <col customWidth="1" min="11" max="11" width="18.0"/>
    <col customWidth="1" min="12" max="12" width="10.0"/>
    <col customWidth="1" min="13" max="26" width="8.71"/>
  </cols>
  <sheetData>
    <row r="1" ht="21.75" customHeight="1">
      <c r="A1" s="16" t="s">
        <v>119</v>
      </c>
      <c r="B1" s="2"/>
      <c r="C1" s="2"/>
      <c r="D1" s="2"/>
      <c r="E1" s="2"/>
      <c r="F1" s="2"/>
      <c r="G1" s="2"/>
      <c r="H1" s="2"/>
      <c r="I1" s="2"/>
      <c r="J1" s="2"/>
      <c r="K1" s="2"/>
      <c r="L1" s="3"/>
    </row>
    <row r="2" ht="15.75" customHeight="1">
      <c r="A2" s="33" t="s">
        <v>120</v>
      </c>
      <c r="B2" s="2"/>
      <c r="C2" s="2"/>
      <c r="D2" s="2"/>
      <c r="E2" s="2"/>
      <c r="F2" s="2"/>
      <c r="G2" s="2"/>
      <c r="H2" s="2"/>
      <c r="I2" s="2"/>
      <c r="J2" s="2"/>
      <c r="K2" s="2"/>
      <c r="L2" s="3"/>
    </row>
    <row r="3" ht="27.75" customHeight="1">
      <c r="A3" s="18" t="s">
        <v>28</v>
      </c>
      <c r="B3" s="18" t="s">
        <v>29</v>
      </c>
      <c r="C3" s="18" t="s">
        <v>30</v>
      </c>
      <c r="D3" s="18" t="s">
        <v>31</v>
      </c>
      <c r="E3" s="18" t="s">
        <v>32</v>
      </c>
      <c r="F3" s="18" t="s">
        <v>33</v>
      </c>
      <c r="G3" s="18" t="s">
        <v>34</v>
      </c>
      <c r="H3" s="18" t="s">
        <v>35</v>
      </c>
      <c r="I3" s="18" t="s">
        <v>36</v>
      </c>
      <c r="J3" s="18" t="s">
        <v>37</v>
      </c>
      <c r="K3" s="18" t="s">
        <v>38</v>
      </c>
      <c r="L3" s="18" t="s">
        <v>39</v>
      </c>
    </row>
    <row r="4" ht="15.0" customHeight="1">
      <c r="A4" s="34" t="s">
        <v>81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5"/>
    </row>
    <row r="5" ht="15.0" customHeight="1">
      <c r="A5" s="20">
        <v>106.0</v>
      </c>
      <c r="B5" s="21" t="s">
        <v>81</v>
      </c>
      <c r="C5" s="22" t="s">
        <v>41</v>
      </c>
      <c r="D5" s="22" t="s">
        <v>42</v>
      </c>
      <c r="E5" s="6" t="s">
        <v>66</v>
      </c>
      <c r="F5" s="22" t="s">
        <v>44</v>
      </c>
      <c r="G5" s="22" t="s">
        <v>45</v>
      </c>
      <c r="H5" s="22" t="s">
        <v>82</v>
      </c>
      <c r="I5" s="20" t="s">
        <v>47</v>
      </c>
      <c r="J5" s="28" t="s">
        <v>6</v>
      </c>
      <c r="K5" s="23" t="s">
        <v>5</v>
      </c>
      <c r="L5" s="20" t="str">
        <f t="shared" ref="L5:L7" si="1">IF(K5="","—",IF(J5=K5,"MATCH","MISMATCH"))</f>
        <v>MISMATCH</v>
      </c>
    </row>
    <row r="6" ht="15.0" customHeight="1">
      <c r="A6" s="24">
        <v>107.0</v>
      </c>
      <c r="B6" s="25" t="s">
        <v>81</v>
      </c>
      <c r="C6" s="26" t="s">
        <v>41</v>
      </c>
      <c r="D6" s="26" t="s">
        <v>42</v>
      </c>
      <c r="E6" s="8" t="s">
        <v>66</v>
      </c>
      <c r="F6" s="26" t="s">
        <v>83</v>
      </c>
      <c r="G6" s="26" t="s">
        <v>45</v>
      </c>
      <c r="H6" s="26" t="s">
        <v>82</v>
      </c>
      <c r="I6" s="24" t="s">
        <v>47</v>
      </c>
      <c r="J6" s="28" t="s">
        <v>6</v>
      </c>
      <c r="K6" s="23" t="s">
        <v>5</v>
      </c>
      <c r="L6" s="24" t="str">
        <f t="shared" si="1"/>
        <v>MISMATCH</v>
      </c>
    </row>
    <row r="7" ht="15.0" customHeight="1">
      <c r="A7" s="20">
        <v>108.0</v>
      </c>
      <c r="B7" s="21" t="s">
        <v>81</v>
      </c>
      <c r="C7" s="22" t="s">
        <v>41</v>
      </c>
      <c r="D7" s="22" t="s">
        <v>42</v>
      </c>
      <c r="E7" s="6" t="s">
        <v>66</v>
      </c>
      <c r="F7" s="22" t="s">
        <v>48</v>
      </c>
      <c r="G7" s="22" t="s">
        <v>45</v>
      </c>
      <c r="H7" s="22" t="s">
        <v>82</v>
      </c>
      <c r="I7" s="20" t="s">
        <v>47</v>
      </c>
      <c r="J7" s="28" t="s">
        <v>6</v>
      </c>
      <c r="K7" s="23" t="s">
        <v>5</v>
      </c>
      <c r="L7" s="20" t="str">
        <f t="shared" si="1"/>
        <v>MISMATCH</v>
      </c>
    </row>
    <row r="9" ht="15.0" customHeight="1">
      <c r="A9" s="34" t="s">
        <v>84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5"/>
    </row>
    <row r="10" ht="15.0" customHeight="1">
      <c r="A10" s="24">
        <v>109.0</v>
      </c>
      <c r="B10" s="25" t="s">
        <v>84</v>
      </c>
      <c r="C10" s="26" t="s">
        <v>75</v>
      </c>
      <c r="D10" s="26" t="s">
        <v>76</v>
      </c>
      <c r="E10" s="8" t="s">
        <v>66</v>
      </c>
      <c r="F10" s="26" t="s">
        <v>44</v>
      </c>
      <c r="G10" s="26" t="s">
        <v>45</v>
      </c>
      <c r="H10" s="26" t="s">
        <v>82</v>
      </c>
      <c r="I10" s="24" t="s">
        <v>47</v>
      </c>
      <c r="J10" s="27" t="s">
        <v>5</v>
      </c>
      <c r="K10" s="23" t="s">
        <v>5</v>
      </c>
      <c r="L10" s="24" t="str">
        <f t="shared" ref="L10:L12" si="2">IF(K10="","—",IF(J10=K10,"MATCH","MISMATCH"))</f>
        <v>MATCH</v>
      </c>
    </row>
    <row r="11" ht="15.0" customHeight="1">
      <c r="A11" s="20">
        <v>110.0</v>
      </c>
      <c r="B11" s="21" t="s">
        <v>84</v>
      </c>
      <c r="C11" s="22" t="s">
        <v>75</v>
      </c>
      <c r="D11" s="22" t="s">
        <v>76</v>
      </c>
      <c r="E11" s="6" t="s">
        <v>66</v>
      </c>
      <c r="F11" s="22" t="s">
        <v>83</v>
      </c>
      <c r="G11" s="22" t="s">
        <v>45</v>
      </c>
      <c r="H11" s="22" t="s">
        <v>82</v>
      </c>
      <c r="I11" s="20" t="s">
        <v>47</v>
      </c>
      <c r="J11" s="27" t="s">
        <v>5</v>
      </c>
      <c r="K11" s="23" t="s">
        <v>5</v>
      </c>
      <c r="L11" s="20" t="str">
        <f t="shared" si="2"/>
        <v>MATCH</v>
      </c>
    </row>
    <row r="12" ht="15.0" customHeight="1">
      <c r="A12" s="24">
        <v>111.0</v>
      </c>
      <c r="B12" s="25" t="s">
        <v>84</v>
      </c>
      <c r="C12" s="26" t="s">
        <v>75</v>
      </c>
      <c r="D12" s="26" t="s">
        <v>76</v>
      </c>
      <c r="E12" s="8" t="s">
        <v>66</v>
      </c>
      <c r="F12" s="26" t="s">
        <v>48</v>
      </c>
      <c r="G12" s="26" t="s">
        <v>45</v>
      </c>
      <c r="H12" s="26" t="s">
        <v>82</v>
      </c>
      <c r="I12" s="24" t="s">
        <v>47</v>
      </c>
      <c r="J12" s="27" t="s">
        <v>5</v>
      </c>
      <c r="K12" s="23" t="s">
        <v>5</v>
      </c>
      <c r="L12" s="24" t="str">
        <f t="shared" si="2"/>
        <v>MATCH</v>
      </c>
    </row>
    <row r="14" ht="15.0" customHeight="1">
      <c r="A14" s="34" t="s">
        <v>85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5"/>
    </row>
    <row r="15" ht="15.0" customHeight="1">
      <c r="A15" s="20">
        <v>112.0</v>
      </c>
      <c r="B15" s="21" t="s">
        <v>85</v>
      </c>
      <c r="C15" s="22" t="s">
        <v>51</v>
      </c>
      <c r="D15" s="22" t="s">
        <v>52</v>
      </c>
      <c r="E15" s="6" t="s">
        <v>66</v>
      </c>
      <c r="F15" s="22" t="s">
        <v>44</v>
      </c>
      <c r="G15" s="22" t="s">
        <v>45</v>
      </c>
      <c r="H15" s="22" t="s">
        <v>82</v>
      </c>
      <c r="I15" s="20" t="s">
        <v>47</v>
      </c>
      <c r="J15" s="27" t="s">
        <v>5</v>
      </c>
      <c r="K15" s="23" t="s">
        <v>4</v>
      </c>
      <c r="L15" s="20" t="str">
        <f t="shared" ref="L15:L17" si="3">IF(K15="","—",IF(J15=K15,"MATCH","MISMATCH"))</f>
        <v>MISMATCH</v>
      </c>
    </row>
    <row r="16" ht="15.0" customHeight="1">
      <c r="A16" s="24">
        <v>113.0</v>
      </c>
      <c r="B16" s="25" t="s">
        <v>85</v>
      </c>
      <c r="C16" s="26" t="s">
        <v>51</v>
      </c>
      <c r="D16" s="26" t="s">
        <v>52</v>
      </c>
      <c r="E16" s="8" t="s">
        <v>66</v>
      </c>
      <c r="F16" s="26" t="s">
        <v>83</v>
      </c>
      <c r="G16" s="26" t="s">
        <v>45</v>
      </c>
      <c r="H16" s="26" t="s">
        <v>82</v>
      </c>
      <c r="I16" s="24" t="s">
        <v>47</v>
      </c>
      <c r="J16" s="27" t="s">
        <v>5</v>
      </c>
      <c r="K16" s="23" t="s">
        <v>4</v>
      </c>
      <c r="L16" s="24" t="str">
        <f t="shared" si="3"/>
        <v>MISMATCH</v>
      </c>
    </row>
    <row r="17" ht="15.0" customHeight="1">
      <c r="A17" s="20">
        <v>114.0</v>
      </c>
      <c r="B17" s="21" t="s">
        <v>85</v>
      </c>
      <c r="C17" s="22" t="s">
        <v>51</v>
      </c>
      <c r="D17" s="22" t="s">
        <v>52</v>
      </c>
      <c r="E17" s="6" t="s">
        <v>66</v>
      </c>
      <c r="F17" s="22" t="s">
        <v>48</v>
      </c>
      <c r="G17" s="22" t="s">
        <v>45</v>
      </c>
      <c r="H17" s="22" t="s">
        <v>82</v>
      </c>
      <c r="I17" s="20" t="s">
        <v>47</v>
      </c>
      <c r="J17" s="27" t="s">
        <v>5</v>
      </c>
      <c r="K17" s="23" t="s">
        <v>4</v>
      </c>
      <c r="L17" s="20" t="str">
        <f t="shared" si="3"/>
        <v>MISMATCH</v>
      </c>
    </row>
    <row r="19" ht="15.0" customHeight="1">
      <c r="A19" s="34" t="s">
        <v>40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5"/>
    </row>
    <row r="20" ht="15.0" customHeight="1">
      <c r="A20" s="24">
        <v>115.0</v>
      </c>
      <c r="B20" s="25" t="s">
        <v>40</v>
      </c>
      <c r="C20" s="26" t="s">
        <v>41</v>
      </c>
      <c r="D20" s="26" t="s">
        <v>42</v>
      </c>
      <c r="E20" s="8" t="s">
        <v>43</v>
      </c>
      <c r="F20" s="26" t="s">
        <v>44</v>
      </c>
      <c r="G20" s="26" t="s">
        <v>45</v>
      </c>
      <c r="H20" s="26" t="s">
        <v>46</v>
      </c>
      <c r="I20" s="24" t="s">
        <v>47</v>
      </c>
      <c r="J20" s="10" t="s">
        <v>4</v>
      </c>
      <c r="K20" s="23" t="s">
        <v>4</v>
      </c>
      <c r="L20" s="24" t="str">
        <f t="shared" ref="L20:L22" si="4">IF(K20="","—",IF(J20=K20,"MATCH","MISMATCH"))</f>
        <v>MATCH</v>
      </c>
    </row>
    <row r="21" ht="15.0" customHeight="1">
      <c r="A21" s="20">
        <v>116.0</v>
      </c>
      <c r="B21" s="21" t="s">
        <v>40</v>
      </c>
      <c r="C21" s="22" t="s">
        <v>41</v>
      </c>
      <c r="D21" s="22" t="s">
        <v>42</v>
      </c>
      <c r="E21" s="6" t="s">
        <v>43</v>
      </c>
      <c r="F21" s="22" t="s">
        <v>48</v>
      </c>
      <c r="G21" s="22" t="s">
        <v>45</v>
      </c>
      <c r="H21" s="22" t="s">
        <v>46</v>
      </c>
      <c r="I21" s="20" t="s">
        <v>47</v>
      </c>
      <c r="J21" s="10" t="s">
        <v>4</v>
      </c>
      <c r="K21" s="23" t="s">
        <v>4</v>
      </c>
      <c r="L21" s="20" t="str">
        <f t="shared" si="4"/>
        <v>MATCH</v>
      </c>
    </row>
    <row r="22" ht="15.0" customHeight="1">
      <c r="A22" s="24">
        <v>117.0</v>
      </c>
      <c r="B22" s="25" t="s">
        <v>40</v>
      </c>
      <c r="C22" s="26" t="s">
        <v>41</v>
      </c>
      <c r="D22" s="26" t="s">
        <v>42</v>
      </c>
      <c r="E22" s="8" t="s">
        <v>43</v>
      </c>
      <c r="F22" s="26" t="s">
        <v>49</v>
      </c>
      <c r="G22" s="26" t="s">
        <v>45</v>
      </c>
      <c r="H22" s="26" t="s">
        <v>46</v>
      </c>
      <c r="I22" s="24" t="s">
        <v>47</v>
      </c>
      <c r="J22" s="10" t="s">
        <v>4</v>
      </c>
      <c r="K22" s="23" t="s">
        <v>4</v>
      </c>
      <c r="L22" s="24" t="str">
        <f t="shared" si="4"/>
        <v>MATCH</v>
      </c>
    </row>
    <row r="23" ht="15.75" customHeight="1"/>
    <row r="24" ht="15.0" customHeight="1">
      <c r="A24" s="34" t="s">
        <v>86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5"/>
    </row>
    <row r="25" ht="15.0" customHeight="1">
      <c r="A25" s="20">
        <v>118.0</v>
      </c>
      <c r="B25" s="21" t="s">
        <v>86</v>
      </c>
      <c r="C25" s="22" t="s">
        <v>41</v>
      </c>
      <c r="D25" s="22" t="s">
        <v>42</v>
      </c>
      <c r="E25" s="6" t="s">
        <v>66</v>
      </c>
      <c r="F25" s="22" t="s">
        <v>44</v>
      </c>
      <c r="G25" s="22" t="s">
        <v>45</v>
      </c>
      <c r="H25" s="22" t="s">
        <v>87</v>
      </c>
      <c r="I25" s="20" t="s">
        <v>47</v>
      </c>
      <c r="J25" s="10" t="s">
        <v>4</v>
      </c>
      <c r="K25" s="23" t="s">
        <v>4</v>
      </c>
      <c r="L25" s="20" t="str">
        <f t="shared" ref="L25:L27" si="5">IF(K25="","—",IF(J25=K25,"MATCH","MISMATCH"))</f>
        <v>MATCH</v>
      </c>
    </row>
    <row r="26" ht="15.0" customHeight="1">
      <c r="A26" s="24">
        <v>119.0</v>
      </c>
      <c r="B26" s="25" t="s">
        <v>86</v>
      </c>
      <c r="C26" s="26" t="s">
        <v>41</v>
      </c>
      <c r="D26" s="26" t="s">
        <v>42</v>
      </c>
      <c r="E26" s="8" t="s">
        <v>66</v>
      </c>
      <c r="F26" s="26" t="s">
        <v>83</v>
      </c>
      <c r="G26" s="26" t="s">
        <v>45</v>
      </c>
      <c r="H26" s="26" t="s">
        <v>87</v>
      </c>
      <c r="I26" s="24" t="s">
        <v>47</v>
      </c>
      <c r="J26" s="10" t="s">
        <v>4</v>
      </c>
      <c r="K26" s="23" t="s">
        <v>4</v>
      </c>
      <c r="L26" s="24" t="str">
        <f t="shared" si="5"/>
        <v>MATCH</v>
      </c>
    </row>
    <row r="27" ht="15.0" customHeight="1">
      <c r="A27" s="20">
        <v>120.0</v>
      </c>
      <c r="B27" s="21" t="s">
        <v>86</v>
      </c>
      <c r="C27" s="22" t="s">
        <v>41</v>
      </c>
      <c r="D27" s="22" t="s">
        <v>42</v>
      </c>
      <c r="E27" s="6" t="s">
        <v>66</v>
      </c>
      <c r="F27" s="22" t="s">
        <v>48</v>
      </c>
      <c r="G27" s="22" t="s">
        <v>45</v>
      </c>
      <c r="H27" s="22" t="s">
        <v>87</v>
      </c>
      <c r="I27" s="20" t="s">
        <v>47</v>
      </c>
      <c r="J27" s="10" t="s">
        <v>4</v>
      </c>
      <c r="K27" s="23" t="s">
        <v>4</v>
      </c>
      <c r="L27" s="20" t="str">
        <f t="shared" si="5"/>
        <v>MATCH</v>
      </c>
    </row>
    <row r="28" ht="15.75" customHeight="1"/>
    <row r="29" ht="15.0" customHeight="1">
      <c r="A29" s="34" t="s">
        <v>88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5"/>
    </row>
    <row r="30" ht="15.0" customHeight="1">
      <c r="A30" s="24">
        <v>121.0</v>
      </c>
      <c r="B30" s="25" t="s">
        <v>88</v>
      </c>
      <c r="C30" s="26" t="s">
        <v>41</v>
      </c>
      <c r="D30" s="26" t="s">
        <v>42</v>
      </c>
      <c r="E30" s="8" t="s">
        <v>66</v>
      </c>
      <c r="F30" s="26" t="s">
        <v>44</v>
      </c>
      <c r="G30" s="26" t="s">
        <v>45</v>
      </c>
      <c r="H30" s="26" t="s">
        <v>89</v>
      </c>
      <c r="I30" s="24" t="s">
        <v>47</v>
      </c>
      <c r="J30" s="27" t="s">
        <v>5</v>
      </c>
      <c r="K30" s="23" t="s">
        <v>5</v>
      </c>
      <c r="L30" s="24" t="str">
        <f t="shared" ref="L30:L32" si="6">IF(K30="","—",IF(J30=K30,"MATCH","MISMATCH"))</f>
        <v>MATCH</v>
      </c>
    </row>
    <row r="31" ht="15.0" customHeight="1">
      <c r="A31" s="20">
        <v>122.0</v>
      </c>
      <c r="B31" s="21" t="s">
        <v>88</v>
      </c>
      <c r="C31" s="22" t="s">
        <v>41</v>
      </c>
      <c r="D31" s="22" t="s">
        <v>42</v>
      </c>
      <c r="E31" s="6" t="s">
        <v>66</v>
      </c>
      <c r="F31" s="22" t="s">
        <v>83</v>
      </c>
      <c r="G31" s="22" t="s">
        <v>45</v>
      </c>
      <c r="H31" s="22" t="s">
        <v>89</v>
      </c>
      <c r="I31" s="20" t="s">
        <v>47</v>
      </c>
      <c r="J31" s="27" t="s">
        <v>5</v>
      </c>
      <c r="K31" s="23" t="s">
        <v>5</v>
      </c>
      <c r="L31" s="20" t="str">
        <f t="shared" si="6"/>
        <v>MATCH</v>
      </c>
    </row>
    <row r="32" ht="15.0" customHeight="1">
      <c r="A32" s="24">
        <v>123.0</v>
      </c>
      <c r="B32" s="25" t="s">
        <v>88</v>
      </c>
      <c r="C32" s="26" t="s">
        <v>41</v>
      </c>
      <c r="D32" s="26" t="s">
        <v>42</v>
      </c>
      <c r="E32" s="8" t="s">
        <v>66</v>
      </c>
      <c r="F32" s="26" t="s">
        <v>48</v>
      </c>
      <c r="G32" s="26" t="s">
        <v>45</v>
      </c>
      <c r="H32" s="26" t="s">
        <v>89</v>
      </c>
      <c r="I32" s="24" t="s">
        <v>47</v>
      </c>
      <c r="J32" s="27" t="s">
        <v>5</v>
      </c>
      <c r="K32" s="23" t="s">
        <v>5</v>
      </c>
      <c r="L32" s="24" t="str">
        <f t="shared" si="6"/>
        <v>MATCH</v>
      </c>
    </row>
    <row r="33" ht="15.75" customHeight="1"/>
    <row r="34" ht="15.0" customHeight="1">
      <c r="A34" s="34" t="s">
        <v>90</v>
      </c>
      <c r="B34" s="14"/>
      <c r="C34" s="14"/>
      <c r="D34" s="14"/>
      <c r="E34" s="14"/>
      <c r="F34" s="14"/>
      <c r="G34" s="14"/>
      <c r="H34" s="14"/>
      <c r="I34" s="14"/>
      <c r="J34" s="14"/>
      <c r="K34" s="14"/>
      <c r="L34" s="15"/>
    </row>
    <row r="35" ht="15.0" customHeight="1">
      <c r="A35" s="20">
        <v>124.0</v>
      </c>
      <c r="B35" s="21" t="s">
        <v>90</v>
      </c>
      <c r="C35" s="22" t="s">
        <v>75</v>
      </c>
      <c r="D35" s="22" t="s">
        <v>76</v>
      </c>
      <c r="E35" s="6" t="s">
        <v>66</v>
      </c>
      <c r="F35" s="22" t="s">
        <v>44</v>
      </c>
      <c r="G35" s="22" t="s">
        <v>45</v>
      </c>
      <c r="H35" s="22" t="s">
        <v>89</v>
      </c>
      <c r="I35" s="20" t="s">
        <v>47</v>
      </c>
      <c r="J35" s="10" t="s">
        <v>4</v>
      </c>
      <c r="K35" s="23" t="s">
        <v>4</v>
      </c>
      <c r="L35" s="20" t="str">
        <f t="shared" ref="L35:L37" si="7">IF(K35="","—",IF(J35=K35,"MATCH","MISMATCH"))</f>
        <v>MATCH</v>
      </c>
    </row>
    <row r="36" ht="15.0" customHeight="1">
      <c r="A36" s="24">
        <v>125.0</v>
      </c>
      <c r="B36" s="25" t="s">
        <v>90</v>
      </c>
      <c r="C36" s="26" t="s">
        <v>75</v>
      </c>
      <c r="D36" s="26" t="s">
        <v>76</v>
      </c>
      <c r="E36" s="8" t="s">
        <v>66</v>
      </c>
      <c r="F36" s="26" t="s">
        <v>83</v>
      </c>
      <c r="G36" s="26" t="s">
        <v>45</v>
      </c>
      <c r="H36" s="26" t="s">
        <v>89</v>
      </c>
      <c r="I36" s="24" t="s">
        <v>47</v>
      </c>
      <c r="J36" s="10" t="s">
        <v>4</v>
      </c>
      <c r="K36" s="23" t="s">
        <v>4</v>
      </c>
      <c r="L36" s="24" t="str">
        <f t="shared" si="7"/>
        <v>MATCH</v>
      </c>
    </row>
    <row r="37" ht="15.0" customHeight="1">
      <c r="A37" s="20">
        <v>126.0</v>
      </c>
      <c r="B37" s="21" t="s">
        <v>90</v>
      </c>
      <c r="C37" s="22" t="s">
        <v>75</v>
      </c>
      <c r="D37" s="22" t="s">
        <v>76</v>
      </c>
      <c r="E37" s="6" t="s">
        <v>66</v>
      </c>
      <c r="F37" s="22" t="s">
        <v>48</v>
      </c>
      <c r="G37" s="22" t="s">
        <v>45</v>
      </c>
      <c r="H37" s="22" t="s">
        <v>89</v>
      </c>
      <c r="I37" s="20" t="s">
        <v>47</v>
      </c>
      <c r="J37" s="10" t="s">
        <v>4</v>
      </c>
      <c r="K37" s="23" t="s">
        <v>4</v>
      </c>
      <c r="L37" s="20" t="str">
        <f t="shared" si="7"/>
        <v>MATCH</v>
      </c>
    </row>
    <row r="38" ht="15.75" customHeight="1"/>
    <row r="39" ht="15.0" customHeight="1">
      <c r="A39" s="34" t="s">
        <v>50</v>
      </c>
      <c r="B39" s="14"/>
      <c r="C39" s="14"/>
      <c r="D39" s="14"/>
      <c r="E39" s="14"/>
      <c r="F39" s="14"/>
      <c r="G39" s="14"/>
      <c r="H39" s="14"/>
      <c r="I39" s="14"/>
      <c r="J39" s="14"/>
      <c r="K39" s="14"/>
      <c r="L39" s="15"/>
    </row>
    <row r="40" ht="15.0" customHeight="1">
      <c r="A40" s="24">
        <v>127.0</v>
      </c>
      <c r="B40" s="25" t="s">
        <v>50</v>
      </c>
      <c r="C40" s="26" t="s">
        <v>51</v>
      </c>
      <c r="D40" s="26" t="s">
        <v>52</v>
      </c>
      <c r="E40" s="8" t="s">
        <v>43</v>
      </c>
      <c r="F40" s="26" t="s">
        <v>44</v>
      </c>
      <c r="G40" s="26" t="s">
        <v>45</v>
      </c>
      <c r="H40" s="26" t="s">
        <v>53</v>
      </c>
      <c r="I40" s="24" t="s">
        <v>47</v>
      </c>
      <c r="J40" s="10" t="s">
        <v>4</v>
      </c>
      <c r="K40" s="23" t="s">
        <v>5</v>
      </c>
      <c r="L40" s="24" t="str">
        <f t="shared" ref="L40:L41" si="8">IF(K40="","—",IF(J40=K40,"MATCH","MISMATCH"))</f>
        <v>MISMATCH</v>
      </c>
    </row>
    <row r="41" ht="15.0" customHeight="1">
      <c r="A41" s="20">
        <v>128.0</v>
      </c>
      <c r="B41" s="21" t="s">
        <v>50</v>
      </c>
      <c r="C41" s="22" t="s">
        <v>51</v>
      </c>
      <c r="D41" s="22" t="s">
        <v>52</v>
      </c>
      <c r="E41" s="6" t="s">
        <v>43</v>
      </c>
      <c r="F41" s="22" t="s">
        <v>54</v>
      </c>
      <c r="G41" s="22" t="s">
        <v>45</v>
      </c>
      <c r="H41" s="22" t="s">
        <v>53</v>
      </c>
      <c r="I41" s="20" t="s">
        <v>47</v>
      </c>
      <c r="J41" s="10" t="s">
        <v>4</v>
      </c>
      <c r="K41" s="23" t="s">
        <v>5</v>
      </c>
      <c r="L41" s="20" t="str">
        <f t="shared" si="8"/>
        <v>MISMATCH</v>
      </c>
    </row>
    <row r="42" ht="15.75" customHeight="1"/>
    <row r="43" ht="15.0" customHeight="1">
      <c r="A43" s="34" t="s">
        <v>55</v>
      </c>
      <c r="B43" s="14"/>
      <c r="C43" s="14"/>
      <c r="D43" s="14"/>
      <c r="E43" s="14"/>
      <c r="F43" s="14"/>
      <c r="G43" s="14"/>
      <c r="H43" s="14"/>
      <c r="I43" s="14"/>
      <c r="J43" s="14"/>
      <c r="K43" s="14"/>
      <c r="L43" s="15"/>
    </row>
    <row r="44" ht="15.0" customHeight="1">
      <c r="A44" s="24">
        <v>129.0</v>
      </c>
      <c r="B44" s="25" t="s">
        <v>55</v>
      </c>
      <c r="C44" s="26" t="s">
        <v>41</v>
      </c>
      <c r="D44" s="26" t="s">
        <v>42</v>
      </c>
      <c r="E44" s="8" t="s">
        <v>43</v>
      </c>
      <c r="F44" s="26" t="s">
        <v>44</v>
      </c>
      <c r="G44" s="26" t="s">
        <v>45</v>
      </c>
      <c r="H44" s="26" t="s">
        <v>56</v>
      </c>
      <c r="I44" s="24" t="s">
        <v>47</v>
      </c>
      <c r="J44" s="10" t="s">
        <v>4</v>
      </c>
      <c r="K44" s="23" t="s">
        <v>5</v>
      </c>
      <c r="L44" s="24" t="str">
        <f t="shared" ref="L44:L46" si="9">IF(K44="","—",IF(J44=K44,"MATCH","MISMATCH"))</f>
        <v>MISMATCH</v>
      </c>
    </row>
    <row r="45" ht="15.0" customHeight="1">
      <c r="A45" s="20">
        <v>130.0</v>
      </c>
      <c r="B45" s="21" t="s">
        <v>55</v>
      </c>
      <c r="C45" s="22" t="s">
        <v>41</v>
      </c>
      <c r="D45" s="22" t="s">
        <v>42</v>
      </c>
      <c r="E45" s="6" t="s">
        <v>43</v>
      </c>
      <c r="F45" s="22" t="s">
        <v>48</v>
      </c>
      <c r="G45" s="22" t="s">
        <v>45</v>
      </c>
      <c r="H45" s="22" t="s">
        <v>56</v>
      </c>
      <c r="I45" s="20" t="s">
        <v>47</v>
      </c>
      <c r="J45" s="10" t="s">
        <v>4</v>
      </c>
      <c r="K45" s="23" t="s">
        <v>5</v>
      </c>
      <c r="L45" s="20" t="str">
        <f t="shared" si="9"/>
        <v>MISMATCH</v>
      </c>
    </row>
    <row r="46" ht="15.0" customHeight="1">
      <c r="A46" s="24">
        <v>131.0</v>
      </c>
      <c r="B46" s="25" t="s">
        <v>55</v>
      </c>
      <c r="C46" s="26" t="s">
        <v>41</v>
      </c>
      <c r="D46" s="26" t="s">
        <v>42</v>
      </c>
      <c r="E46" s="8" t="s">
        <v>43</v>
      </c>
      <c r="F46" s="26" t="s">
        <v>57</v>
      </c>
      <c r="G46" s="26" t="s">
        <v>45</v>
      </c>
      <c r="H46" s="26" t="s">
        <v>56</v>
      </c>
      <c r="I46" s="24" t="s">
        <v>47</v>
      </c>
      <c r="J46" s="10" t="s">
        <v>4</v>
      </c>
      <c r="K46" s="23" t="s">
        <v>5</v>
      </c>
      <c r="L46" s="24" t="str">
        <f t="shared" si="9"/>
        <v>MISMATCH</v>
      </c>
    </row>
    <row r="47" ht="15.75" customHeight="1"/>
    <row r="48" ht="15.0" customHeight="1">
      <c r="A48" s="34" t="s">
        <v>91</v>
      </c>
      <c r="B48" s="14"/>
      <c r="C48" s="14"/>
      <c r="D48" s="14"/>
      <c r="E48" s="14"/>
      <c r="F48" s="14"/>
      <c r="G48" s="14"/>
      <c r="H48" s="14"/>
      <c r="I48" s="14"/>
      <c r="J48" s="14"/>
      <c r="K48" s="14"/>
      <c r="L48" s="15"/>
    </row>
    <row r="49" ht="15.0" customHeight="1">
      <c r="A49" s="20">
        <v>132.0</v>
      </c>
      <c r="B49" s="21" t="s">
        <v>91</v>
      </c>
      <c r="C49" s="22" t="s">
        <v>41</v>
      </c>
      <c r="D49" s="22" t="s">
        <v>42</v>
      </c>
      <c r="E49" s="6" t="s">
        <v>66</v>
      </c>
      <c r="F49" s="22" t="s">
        <v>67</v>
      </c>
      <c r="G49" s="22" t="s">
        <v>45</v>
      </c>
      <c r="H49" s="22" t="s">
        <v>46</v>
      </c>
      <c r="I49" s="20" t="s">
        <v>47</v>
      </c>
      <c r="J49" s="27" t="s">
        <v>5</v>
      </c>
      <c r="K49" s="23" t="s">
        <v>5</v>
      </c>
      <c r="L49" s="20" t="str">
        <f t="shared" ref="L49:L50" si="10">IF(K49="","—",IF(J49=K49,"MATCH","MISMATCH"))</f>
        <v>MATCH</v>
      </c>
    </row>
    <row r="50" ht="15.0" customHeight="1">
      <c r="A50" s="24">
        <v>133.0</v>
      </c>
      <c r="B50" s="25" t="s">
        <v>91</v>
      </c>
      <c r="C50" s="26" t="s">
        <v>41</v>
      </c>
      <c r="D50" s="26" t="s">
        <v>42</v>
      </c>
      <c r="E50" s="8" t="s">
        <v>66</v>
      </c>
      <c r="F50" s="26" t="s">
        <v>69</v>
      </c>
      <c r="G50" s="26" t="s">
        <v>45</v>
      </c>
      <c r="H50" s="26" t="s">
        <v>46</v>
      </c>
      <c r="I50" s="24" t="s">
        <v>47</v>
      </c>
      <c r="J50" s="27" t="s">
        <v>5</v>
      </c>
      <c r="K50" s="23" t="s">
        <v>5</v>
      </c>
      <c r="L50" s="24" t="str">
        <f t="shared" si="10"/>
        <v>MATCH</v>
      </c>
    </row>
    <row r="51" ht="15.75" customHeight="1"/>
    <row r="52" ht="15.0" customHeight="1">
      <c r="A52" s="34" t="s">
        <v>92</v>
      </c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15"/>
    </row>
    <row r="53" ht="15.0" customHeight="1">
      <c r="A53" s="20">
        <v>134.0</v>
      </c>
      <c r="B53" s="21" t="s">
        <v>92</v>
      </c>
      <c r="C53" s="22" t="s">
        <v>41</v>
      </c>
      <c r="D53" s="22" t="s">
        <v>42</v>
      </c>
      <c r="E53" s="6" t="s">
        <v>66</v>
      </c>
      <c r="F53" s="22" t="s">
        <v>44</v>
      </c>
      <c r="G53" s="22" t="s">
        <v>45</v>
      </c>
      <c r="H53" s="22" t="s">
        <v>46</v>
      </c>
      <c r="I53" s="20" t="s">
        <v>47</v>
      </c>
      <c r="J53" s="10" t="s">
        <v>4</v>
      </c>
      <c r="K53" s="23" t="s">
        <v>4</v>
      </c>
      <c r="L53" s="20" t="str">
        <f t="shared" ref="L53:L55" si="11">IF(K53="","—",IF(J53=K53,"MATCH","MISMATCH"))</f>
        <v>MATCH</v>
      </c>
    </row>
    <row r="54" ht="15.0" customHeight="1">
      <c r="A54" s="24">
        <v>135.0</v>
      </c>
      <c r="B54" s="25" t="s">
        <v>92</v>
      </c>
      <c r="C54" s="26" t="s">
        <v>41</v>
      </c>
      <c r="D54" s="26" t="s">
        <v>42</v>
      </c>
      <c r="E54" s="8" t="s">
        <v>66</v>
      </c>
      <c r="F54" s="26" t="s">
        <v>83</v>
      </c>
      <c r="G54" s="26" t="s">
        <v>45</v>
      </c>
      <c r="H54" s="26" t="s">
        <v>46</v>
      </c>
      <c r="I54" s="24" t="s">
        <v>47</v>
      </c>
      <c r="J54" s="10" t="s">
        <v>4</v>
      </c>
      <c r="K54" s="23" t="s">
        <v>4</v>
      </c>
      <c r="L54" s="24" t="str">
        <f t="shared" si="11"/>
        <v>MATCH</v>
      </c>
    </row>
    <row r="55" ht="15.0" customHeight="1">
      <c r="A55" s="20">
        <v>136.0</v>
      </c>
      <c r="B55" s="21" t="s">
        <v>92</v>
      </c>
      <c r="C55" s="22" t="s">
        <v>41</v>
      </c>
      <c r="D55" s="22" t="s">
        <v>42</v>
      </c>
      <c r="E55" s="6" t="s">
        <v>66</v>
      </c>
      <c r="F55" s="22" t="s">
        <v>48</v>
      </c>
      <c r="G55" s="22" t="s">
        <v>45</v>
      </c>
      <c r="H55" s="22" t="s">
        <v>46</v>
      </c>
      <c r="I55" s="20" t="s">
        <v>47</v>
      </c>
      <c r="J55" s="10" t="s">
        <v>4</v>
      </c>
      <c r="K55" s="23" t="s">
        <v>4</v>
      </c>
      <c r="L55" s="20" t="str">
        <f t="shared" si="11"/>
        <v>MATCH</v>
      </c>
    </row>
    <row r="56" ht="15.75" customHeight="1"/>
    <row r="57" ht="15.0" customHeight="1">
      <c r="A57" s="34" t="s">
        <v>93</v>
      </c>
      <c r="B57" s="14"/>
      <c r="C57" s="14"/>
      <c r="D57" s="14"/>
      <c r="E57" s="14"/>
      <c r="F57" s="14"/>
      <c r="G57" s="14"/>
      <c r="H57" s="14"/>
      <c r="I57" s="14"/>
      <c r="J57" s="14"/>
      <c r="K57" s="14"/>
      <c r="L57" s="15"/>
    </row>
    <row r="58" ht="15.0" customHeight="1">
      <c r="A58" s="24">
        <v>137.0</v>
      </c>
      <c r="B58" s="25" t="s">
        <v>93</v>
      </c>
      <c r="C58" s="26" t="s">
        <v>41</v>
      </c>
      <c r="D58" s="26" t="s">
        <v>42</v>
      </c>
      <c r="E58" s="8" t="s">
        <v>66</v>
      </c>
      <c r="F58" s="26" t="s">
        <v>94</v>
      </c>
      <c r="G58" s="26" t="s">
        <v>45</v>
      </c>
      <c r="H58" s="26" t="s">
        <v>59</v>
      </c>
      <c r="I58" s="24" t="s">
        <v>60</v>
      </c>
      <c r="J58" s="32" t="s">
        <v>7</v>
      </c>
      <c r="K58" s="23" t="s">
        <v>6</v>
      </c>
      <c r="L58" s="24" t="str">
        <f>IF(K58="","—",IF(J58=K58,"MATCH","MISMATCH"))</f>
        <v>MISMATCH</v>
      </c>
    </row>
    <row r="59" ht="15.75" customHeight="1"/>
    <row r="60" ht="15.0" customHeight="1">
      <c r="A60" s="34" t="s">
        <v>95</v>
      </c>
      <c r="B60" s="14"/>
      <c r="C60" s="14"/>
      <c r="D60" s="14"/>
      <c r="E60" s="14"/>
      <c r="F60" s="14"/>
      <c r="G60" s="14"/>
      <c r="H60" s="14"/>
      <c r="I60" s="14"/>
      <c r="J60" s="14"/>
      <c r="K60" s="14"/>
      <c r="L60" s="15"/>
    </row>
    <row r="61" ht="15.0" customHeight="1">
      <c r="A61" s="20">
        <v>138.0</v>
      </c>
      <c r="B61" s="21" t="s">
        <v>95</v>
      </c>
      <c r="C61" s="22" t="s">
        <v>75</v>
      </c>
      <c r="D61" s="22" t="s">
        <v>76</v>
      </c>
      <c r="E61" s="6" t="s">
        <v>66</v>
      </c>
      <c r="F61" s="22" t="s">
        <v>94</v>
      </c>
      <c r="G61" s="22" t="s">
        <v>45</v>
      </c>
      <c r="H61" s="22" t="s">
        <v>59</v>
      </c>
      <c r="I61" s="20" t="s">
        <v>60</v>
      </c>
      <c r="J61" s="28" t="s">
        <v>6</v>
      </c>
      <c r="K61" s="23" t="s">
        <v>5</v>
      </c>
      <c r="L61" s="20" t="str">
        <f t="shared" ref="L61:L62" si="12">IF(K61="","—",IF(J61=K61,"MATCH","MISMATCH"))</f>
        <v>MISMATCH</v>
      </c>
    </row>
    <row r="62" ht="15.0" customHeight="1">
      <c r="A62" s="24">
        <v>139.0</v>
      </c>
      <c r="B62" s="25" t="s">
        <v>95</v>
      </c>
      <c r="C62" s="26" t="s">
        <v>51</v>
      </c>
      <c r="D62" s="26" t="s">
        <v>52</v>
      </c>
      <c r="E62" s="8" t="s">
        <v>66</v>
      </c>
      <c r="F62" s="26" t="s">
        <v>94</v>
      </c>
      <c r="G62" s="26" t="s">
        <v>45</v>
      </c>
      <c r="H62" s="26" t="s">
        <v>59</v>
      </c>
      <c r="I62" s="24" t="s">
        <v>60</v>
      </c>
      <c r="J62" s="28" t="s">
        <v>6</v>
      </c>
      <c r="K62" s="23" t="s">
        <v>5</v>
      </c>
      <c r="L62" s="24" t="str">
        <f t="shared" si="12"/>
        <v>MISMATCH</v>
      </c>
    </row>
    <row r="63" ht="15.75" customHeight="1"/>
    <row r="64" ht="15.0" customHeight="1">
      <c r="A64" s="34" t="s">
        <v>96</v>
      </c>
      <c r="B64" s="14"/>
      <c r="C64" s="14"/>
      <c r="D64" s="14"/>
      <c r="E64" s="14"/>
      <c r="F64" s="14"/>
      <c r="G64" s="14"/>
      <c r="H64" s="14"/>
      <c r="I64" s="14"/>
      <c r="J64" s="14"/>
      <c r="K64" s="14"/>
      <c r="L64" s="15"/>
    </row>
    <row r="65" ht="15.0" customHeight="1">
      <c r="A65" s="20">
        <v>140.0</v>
      </c>
      <c r="B65" s="21" t="s">
        <v>96</v>
      </c>
      <c r="C65" s="22" t="s">
        <v>41</v>
      </c>
      <c r="D65" s="22" t="s">
        <v>42</v>
      </c>
      <c r="E65" s="6" t="s">
        <v>43</v>
      </c>
      <c r="F65" s="22" t="s">
        <v>44</v>
      </c>
      <c r="G65" s="22" t="s">
        <v>45</v>
      </c>
      <c r="H65" s="22" t="s">
        <v>121</v>
      </c>
      <c r="I65" s="20" t="s">
        <v>60</v>
      </c>
      <c r="J65" s="27" t="s">
        <v>5</v>
      </c>
      <c r="K65" s="23" t="s">
        <v>5</v>
      </c>
      <c r="L65" s="20" t="str">
        <f t="shared" ref="L65:L67" si="13">IF(K65="","—",IF(J65=K65,"MATCH","MISMATCH"))</f>
        <v>MATCH</v>
      </c>
    </row>
    <row r="66" ht="15.0" customHeight="1">
      <c r="A66" s="24">
        <v>141.0</v>
      </c>
      <c r="B66" s="25" t="s">
        <v>96</v>
      </c>
      <c r="C66" s="26" t="s">
        <v>41</v>
      </c>
      <c r="D66" s="26" t="s">
        <v>42</v>
      </c>
      <c r="E66" s="8" t="s">
        <v>43</v>
      </c>
      <c r="F66" s="26" t="s">
        <v>48</v>
      </c>
      <c r="G66" s="26" t="s">
        <v>45</v>
      </c>
      <c r="H66" s="26" t="s">
        <v>59</v>
      </c>
      <c r="I66" s="24" t="s">
        <v>60</v>
      </c>
      <c r="J66" s="27" t="s">
        <v>5</v>
      </c>
      <c r="K66" s="23" t="s">
        <v>5</v>
      </c>
      <c r="L66" s="24" t="str">
        <f t="shared" si="13"/>
        <v>MATCH</v>
      </c>
    </row>
    <row r="67" ht="15.0" customHeight="1">
      <c r="A67" s="20">
        <v>142.0</v>
      </c>
      <c r="B67" s="21" t="s">
        <v>96</v>
      </c>
      <c r="C67" s="22" t="s">
        <v>41</v>
      </c>
      <c r="D67" s="22" t="s">
        <v>42</v>
      </c>
      <c r="E67" s="6" t="s">
        <v>43</v>
      </c>
      <c r="F67" s="22" t="s">
        <v>49</v>
      </c>
      <c r="G67" s="22" t="s">
        <v>45</v>
      </c>
      <c r="H67" s="22" t="s">
        <v>59</v>
      </c>
      <c r="I67" s="20" t="s">
        <v>60</v>
      </c>
      <c r="J67" s="27" t="s">
        <v>5</v>
      </c>
      <c r="K67" s="23" t="s">
        <v>5</v>
      </c>
      <c r="L67" s="20" t="str">
        <f t="shared" si="13"/>
        <v>MATCH</v>
      </c>
    </row>
    <row r="68" ht="15.75" customHeight="1"/>
    <row r="69" ht="15.0" customHeight="1">
      <c r="A69" s="34" t="s">
        <v>97</v>
      </c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15"/>
    </row>
    <row r="70" ht="15.0" customHeight="1">
      <c r="A70" s="24">
        <v>143.0</v>
      </c>
      <c r="B70" s="25" t="s">
        <v>97</v>
      </c>
      <c r="C70" s="26" t="s">
        <v>41</v>
      </c>
      <c r="D70" s="26" t="s">
        <v>42</v>
      </c>
      <c r="E70" s="8" t="s">
        <v>43</v>
      </c>
      <c r="F70" s="26" t="s">
        <v>98</v>
      </c>
      <c r="G70" s="26" t="s">
        <v>45</v>
      </c>
      <c r="H70" s="26" t="s">
        <v>59</v>
      </c>
      <c r="I70" s="24" t="s">
        <v>60</v>
      </c>
      <c r="J70" s="27" t="s">
        <v>5</v>
      </c>
      <c r="K70" s="23" t="s">
        <v>5</v>
      </c>
      <c r="L70" s="24" t="str">
        <f t="shared" ref="L70:L71" si="14">IF(K70="","—",IF(J70=K70,"MATCH","MISMATCH"))</f>
        <v>MATCH</v>
      </c>
    </row>
    <row r="71" ht="15.0" customHeight="1">
      <c r="A71" s="20">
        <v>144.0</v>
      </c>
      <c r="B71" s="21" t="s">
        <v>97</v>
      </c>
      <c r="C71" s="22" t="s">
        <v>41</v>
      </c>
      <c r="D71" s="22" t="s">
        <v>42</v>
      </c>
      <c r="E71" s="6" t="s">
        <v>66</v>
      </c>
      <c r="F71" s="22" t="s">
        <v>98</v>
      </c>
      <c r="G71" s="22" t="s">
        <v>45</v>
      </c>
      <c r="H71" s="22" t="s">
        <v>59</v>
      </c>
      <c r="I71" s="20" t="s">
        <v>60</v>
      </c>
      <c r="J71" s="27" t="s">
        <v>5</v>
      </c>
      <c r="K71" s="23" t="s">
        <v>5</v>
      </c>
      <c r="L71" s="20" t="str">
        <f t="shared" si="14"/>
        <v>MATCH</v>
      </c>
    </row>
    <row r="72" ht="15.75" customHeight="1"/>
    <row r="73" ht="15.0" customHeight="1">
      <c r="A73" s="34" t="s">
        <v>99</v>
      </c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15"/>
    </row>
    <row r="74" ht="15.0" customHeight="1">
      <c r="A74" s="24">
        <v>145.0</v>
      </c>
      <c r="B74" s="25" t="s">
        <v>99</v>
      </c>
      <c r="C74" s="26" t="s">
        <v>75</v>
      </c>
      <c r="D74" s="26" t="s">
        <v>76</v>
      </c>
      <c r="E74" s="8" t="s">
        <v>43</v>
      </c>
      <c r="F74" s="26" t="s">
        <v>98</v>
      </c>
      <c r="G74" s="26" t="s">
        <v>45</v>
      </c>
      <c r="H74" s="26" t="s">
        <v>59</v>
      </c>
      <c r="I74" s="24" t="s">
        <v>60</v>
      </c>
      <c r="J74" s="10" t="s">
        <v>4</v>
      </c>
      <c r="K74" s="23" t="s">
        <v>4</v>
      </c>
      <c r="L74" s="24" t="str">
        <f t="shared" ref="L74:L76" si="15">IF(K74="","—",IF(J74=K74,"MATCH","MISMATCH"))</f>
        <v>MATCH</v>
      </c>
    </row>
    <row r="75" ht="15.0" customHeight="1">
      <c r="A75" s="20">
        <v>146.0</v>
      </c>
      <c r="B75" s="21" t="s">
        <v>99</v>
      </c>
      <c r="C75" s="22" t="s">
        <v>75</v>
      </c>
      <c r="D75" s="22" t="s">
        <v>76</v>
      </c>
      <c r="E75" s="6" t="s">
        <v>66</v>
      </c>
      <c r="F75" s="22" t="s">
        <v>98</v>
      </c>
      <c r="G75" s="22" t="s">
        <v>45</v>
      </c>
      <c r="H75" s="22" t="s">
        <v>59</v>
      </c>
      <c r="I75" s="20" t="s">
        <v>60</v>
      </c>
      <c r="J75" s="10" t="s">
        <v>4</v>
      </c>
      <c r="K75" s="23" t="s">
        <v>4</v>
      </c>
      <c r="L75" s="20" t="str">
        <f t="shared" si="15"/>
        <v>MATCH</v>
      </c>
    </row>
    <row r="76" ht="15.0" customHeight="1">
      <c r="A76" s="24">
        <v>147.0</v>
      </c>
      <c r="B76" s="25" t="s">
        <v>99</v>
      </c>
      <c r="C76" s="26" t="s">
        <v>51</v>
      </c>
      <c r="D76" s="26" t="s">
        <v>52</v>
      </c>
      <c r="E76" s="8" t="s">
        <v>43</v>
      </c>
      <c r="F76" s="26" t="s">
        <v>98</v>
      </c>
      <c r="G76" s="26" t="s">
        <v>45</v>
      </c>
      <c r="H76" s="26" t="s">
        <v>59</v>
      </c>
      <c r="I76" s="24" t="s">
        <v>60</v>
      </c>
      <c r="J76" s="10" t="s">
        <v>4</v>
      </c>
      <c r="K76" s="23" t="s">
        <v>4</v>
      </c>
      <c r="L76" s="24" t="str">
        <f t="shared" si="15"/>
        <v>MATCH</v>
      </c>
    </row>
    <row r="77" ht="15.75" customHeight="1"/>
    <row r="78" ht="15.0" customHeight="1">
      <c r="A78" s="34" t="s">
        <v>122</v>
      </c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15"/>
    </row>
    <row r="79" ht="15.0" customHeight="1">
      <c r="A79" s="20">
        <v>148.0</v>
      </c>
      <c r="B79" s="21" t="s">
        <v>122</v>
      </c>
      <c r="C79" s="22" t="s">
        <v>41</v>
      </c>
      <c r="D79" s="22" t="s">
        <v>42</v>
      </c>
      <c r="E79" s="6" t="s">
        <v>66</v>
      </c>
      <c r="F79" s="22" t="s">
        <v>67</v>
      </c>
      <c r="G79" s="22" t="s">
        <v>45</v>
      </c>
      <c r="H79" s="22" t="s">
        <v>59</v>
      </c>
      <c r="I79" s="20" t="s">
        <v>60</v>
      </c>
      <c r="J79" s="28" t="s">
        <v>6</v>
      </c>
      <c r="K79" s="23" t="s">
        <v>6</v>
      </c>
      <c r="L79" s="20" t="str">
        <f t="shared" ref="L79:L80" si="16">IF(K79="","—",IF(J79=K79,"MATCH","MISMATCH"))</f>
        <v>MATCH</v>
      </c>
    </row>
    <row r="80" ht="15.0" customHeight="1">
      <c r="A80" s="24">
        <v>149.0</v>
      </c>
      <c r="B80" s="25" t="s">
        <v>122</v>
      </c>
      <c r="C80" s="26" t="s">
        <v>41</v>
      </c>
      <c r="D80" s="26" t="s">
        <v>42</v>
      </c>
      <c r="E80" s="8" t="s">
        <v>66</v>
      </c>
      <c r="F80" s="26" t="s">
        <v>69</v>
      </c>
      <c r="G80" s="26" t="s">
        <v>45</v>
      </c>
      <c r="H80" s="26" t="s">
        <v>59</v>
      </c>
      <c r="I80" s="24" t="s">
        <v>60</v>
      </c>
      <c r="J80" s="28" t="s">
        <v>6</v>
      </c>
      <c r="K80" s="23" t="s">
        <v>6</v>
      </c>
      <c r="L80" s="24" t="str">
        <f t="shared" si="16"/>
        <v>MATCH</v>
      </c>
    </row>
    <row r="81" ht="15.75" customHeight="1"/>
    <row r="82" ht="15.0" customHeight="1">
      <c r="A82" s="34" t="s">
        <v>123</v>
      </c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5"/>
    </row>
    <row r="83" ht="15.0" customHeight="1">
      <c r="A83" s="20">
        <v>150.0</v>
      </c>
      <c r="B83" s="21" t="s">
        <v>123</v>
      </c>
      <c r="C83" s="22" t="s">
        <v>75</v>
      </c>
      <c r="D83" s="22" t="s">
        <v>76</v>
      </c>
      <c r="E83" s="6" t="s">
        <v>66</v>
      </c>
      <c r="F83" s="22" t="s">
        <v>67</v>
      </c>
      <c r="G83" s="22" t="s">
        <v>45</v>
      </c>
      <c r="H83" s="22" t="s">
        <v>59</v>
      </c>
      <c r="I83" s="20" t="s">
        <v>60</v>
      </c>
      <c r="J83" s="27" t="s">
        <v>5</v>
      </c>
      <c r="K83" s="23" t="s">
        <v>5</v>
      </c>
      <c r="L83" s="20" t="str">
        <f t="shared" ref="L83:L84" si="17">IF(K83="","—",IF(J83=K83,"MATCH","MISMATCH"))</f>
        <v>MATCH</v>
      </c>
    </row>
    <row r="84" ht="15.0" customHeight="1">
      <c r="A84" s="24">
        <v>151.0</v>
      </c>
      <c r="B84" s="25" t="s">
        <v>123</v>
      </c>
      <c r="C84" s="26" t="s">
        <v>75</v>
      </c>
      <c r="D84" s="26" t="s">
        <v>76</v>
      </c>
      <c r="E84" s="8" t="s">
        <v>66</v>
      </c>
      <c r="F84" s="26" t="s">
        <v>69</v>
      </c>
      <c r="G84" s="26" t="s">
        <v>45</v>
      </c>
      <c r="H84" s="26" t="s">
        <v>59</v>
      </c>
      <c r="I84" s="24" t="s">
        <v>60</v>
      </c>
      <c r="J84" s="27" t="s">
        <v>5</v>
      </c>
      <c r="K84" s="23" t="s">
        <v>5</v>
      </c>
      <c r="L84" s="24" t="str">
        <f t="shared" si="17"/>
        <v>MATCH</v>
      </c>
    </row>
    <row r="85" ht="15.75" customHeight="1"/>
    <row r="86" ht="15.0" customHeight="1">
      <c r="A86" s="34" t="s">
        <v>102</v>
      </c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15"/>
    </row>
    <row r="87" ht="15.0" customHeight="1">
      <c r="A87" s="20">
        <v>152.0</v>
      </c>
      <c r="B87" s="21" t="s">
        <v>102</v>
      </c>
      <c r="C87" s="22" t="s">
        <v>51</v>
      </c>
      <c r="D87" s="22" t="s">
        <v>52</v>
      </c>
      <c r="E87" s="6" t="s">
        <v>66</v>
      </c>
      <c r="F87" s="22" t="s">
        <v>67</v>
      </c>
      <c r="G87" s="22" t="s">
        <v>45</v>
      </c>
      <c r="H87" s="22" t="s">
        <v>59</v>
      </c>
      <c r="I87" s="20" t="s">
        <v>60</v>
      </c>
      <c r="J87" s="28" t="s">
        <v>6</v>
      </c>
      <c r="K87" s="23" t="s">
        <v>5</v>
      </c>
      <c r="L87" s="20" t="str">
        <f t="shared" ref="L87:L88" si="18">IF(K87="","—",IF(J87=K87,"MATCH","MISMATCH"))</f>
        <v>MISMATCH</v>
      </c>
    </row>
    <row r="88" ht="15.0" customHeight="1">
      <c r="A88" s="24">
        <v>153.0</v>
      </c>
      <c r="B88" s="25" t="s">
        <v>102</v>
      </c>
      <c r="C88" s="26" t="s">
        <v>51</v>
      </c>
      <c r="D88" s="26" t="s">
        <v>52</v>
      </c>
      <c r="E88" s="8" t="s">
        <v>66</v>
      </c>
      <c r="F88" s="26" t="s">
        <v>69</v>
      </c>
      <c r="G88" s="26" t="s">
        <v>45</v>
      </c>
      <c r="H88" s="26" t="s">
        <v>59</v>
      </c>
      <c r="I88" s="24" t="s">
        <v>60</v>
      </c>
      <c r="J88" s="28" t="s">
        <v>6</v>
      </c>
      <c r="K88" s="23" t="s">
        <v>5</v>
      </c>
      <c r="L88" s="24" t="str">
        <f t="shared" si="18"/>
        <v>MISMATCH</v>
      </c>
    </row>
    <row r="89" ht="15.75" customHeight="1"/>
    <row r="90" ht="15.0" customHeight="1">
      <c r="A90" s="34" t="s">
        <v>103</v>
      </c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5"/>
    </row>
    <row r="91" ht="15.0" customHeight="1">
      <c r="A91" s="20">
        <v>154.0</v>
      </c>
      <c r="B91" s="21" t="s">
        <v>103</v>
      </c>
      <c r="C91" s="22" t="s">
        <v>41</v>
      </c>
      <c r="D91" s="22" t="s">
        <v>42</v>
      </c>
      <c r="E91" s="6" t="s">
        <v>66</v>
      </c>
      <c r="F91" s="22" t="s">
        <v>44</v>
      </c>
      <c r="G91" s="22" t="s">
        <v>45</v>
      </c>
      <c r="H91" s="22" t="s">
        <v>59</v>
      </c>
      <c r="I91" s="20" t="s">
        <v>60</v>
      </c>
      <c r="J91" s="28" t="s">
        <v>6</v>
      </c>
      <c r="K91" s="23" t="s">
        <v>5</v>
      </c>
      <c r="L91" s="20" t="str">
        <f t="shared" ref="L91:L93" si="19">IF(K91="","—",IF(J91=K91,"MATCH","MISMATCH"))</f>
        <v>MISMATCH</v>
      </c>
    </row>
    <row r="92" ht="15.0" customHeight="1">
      <c r="A92" s="24">
        <v>155.0</v>
      </c>
      <c r="B92" s="25" t="s">
        <v>103</v>
      </c>
      <c r="C92" s="26" t="s">
        <v>41</v>
      </c>
      <c r="D92" s="26" t="s">
        <v>42</v>
      </c>
      <c r="E92" s="8" t="s">
        <v>66</v>
      </c>
      <c r="F92" s="26" t="s">
        <v>83</v>
      </c>
      <c r="G92" s="26" t="s">
        <v>45</v>
      </c>
      <c r="H92" s="26" t="s">
        <v>59</v>
      </c>
      <c r="I92" s="24" t="s">
        <v>60</v>
      </c>
      <c r="J92" s="28" t="s">
        <v>6</v>
      </c>
      <c r="K92" s="23" t="s">
        <v>5</v>
      </c>
      <c r="L92" s="24" t="str">
        <f t="shared" si="19"/>
        <v>MISMATCH</v>
      </c>
    </row>
    <row r="93" ht="15.0" customHeight="1">
      <c r="A93" s="20">
        <v>156.0</v>
      </c>
      <c r="B93" s="21" t="s">
        <v>103</v>
      </c>
      <c r="C93" s="22" t="s">
        <v>41</v>
      </c>
      <c r="D93" s="22" t="s">
        <v>42</v>
      </c>
      <c r="E93" s="6" t="s">
        <v>66</v>
      </c>
      <c r="F93" s="22" t="s">
        <v>48</v>
      </c>
      <c r="G93" s="22" t="s">
        <v>45</v>
      </c>
      <c r="H93" s="22" t="s">
        <v>59</v>
      </c>
      <c r="I93" s="20" t="s">
        <v>60</v>
      </c>
      <c r="J93" s="28" t="s">
        <v>6</v>
      </c>
      <c r="K93" s="23" t="s">
        <v>5</v>
      </c>
      <c r="L93" s="20" t="str">
        <f t="shared" si="19"/>
        <v>MISMATCH</v>
      </c>
    </row>
    <row r="94" ht="15.75" customHeight="1"/>
    <row r="95" ht="15.0" customHeight="1">
      <c r="A95" s="34" t="s">
        <v>104</v>
      </c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15"/>
    </row>
    <row r="96" ht="15.0" customHeight="1">
      <c r="A96" s="24">
        <v>157.0</v>
      </c>
      <c r="B96" s="25" t="s">
        <v>104</v>
      </c>
      <c r="C96" s="26" t="s">
        <v>75</v>
      </c>
      <c r="D96" s="26" t="s">
        <v>76</v>
      </c>
      <c r="E96" s="8" t="s">
        <v>66</v>
      </c>
      <c r="F96" s="26" t="s">
        <v>44</v>
      </c>
      <c r="G96" s="26" t="s">
        <v>45</v>
      </c>
      <c r="H96" s="26" t="s">
        <v>59</v>
      </c>
      <c r="I96" s="24" t="s">
        <v>60</v>
      </c>
      <c r="J96" s="27" t="s">
        <v>5</v>
      </c>
      <c r="K96" s="23" t="s">
        <v>4</v>
      </c>
      <c r="L96" s="24" t="str">
        <f t="shared" ref="L96:L98" si="20">IF(K96="","—",IF(J96=K96,"MATCH","MISMATCH"))</f>
        <v>MISMATCH</v>
      </c>
    </row>
    <row r="97" ht="15.0" customHeight="1">
      <c r="A97" s="20">
        <v>158.0</v>
      </c>
      <c r="B97" s="21" t="s">
        <v>104</v>
      </c>
      <c r="C97" s="22" t="s">
        <v>75</v>
      </c>
      <c r="D97" s="22" t="s">
        <v>76</v>
      </c>
      <c r="E97" s="6" t="s">
        <v>66</v>
      </c>
      <c r="F97" s="22" t="s">
        <v>83</v>
      </c>
      <c r="G97" s="22" t="s">
        <v>45</v>
      </c>
      <c r="H97" s="22" t="s">
        <v>59</v>
      </c>
      <c r="I97" s="20" t="s">
        <v>60</v>
      </c>
      <c r="J97" s="27" t="s">
        <v>5</v>
      </c>
      <c r="K97" s="23" t="s">
        <v>4</v>
      </c>
      <c r="L97" s="20" t="str">
        <f t="shared" si="20"/>
        <v>MISMATCH</v>
      </c>
    </row>
    <row r="98" ht="15.0" customHeight="1">
      <c r="A98" s="24">
        <v>159.0</v>
      </c>
      <c r="B98" s="25" t="s">
        <v>104</v>
      </c>
      <c r="C98" s="26" t="s">
        <v>75</v>
      </c>
      <c r="D98" s="26" t="s">
        <v>76</v>
      </c>
      <c r="E98" s="8" t="s">
        <v>66</v>
      </c>
      <c r="F98" s="26" t="s">
        <v>48</v>
      </c>
      <c r="G98" s="26" t="s">
        <v>45</v>
      </c>
      <c r="H98" s="26" t="s">
        <v>59</v>
      </c>
      <c r="I98" s="24" t="s">
        <v>60</v>
      </c>
      <c r="J98" s="27" t="s">
        <v>5</v>
      </c>
      <c r="K98" s="23" t="s">
        <v>4</v>
      </c>
      <c r="L98" s="24" t="str">
        <f t="shared" si="20"/>
        <v>MISMATCH</v>
      </c>
    </row>
    <row r="99" ht="15.75" customHeight="1"/>
    <row r="100" ht="15.0" customHeight="1">
      <c r="A100" s="34" t="s">
        <v>105</v>
      </c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15"/>
    </row>
    <row r="101" ht="15.0" customHeight="1">
      <c r="A101" s="20">
        <v>160.0</v>
      </c>
      <c r="B101" s="21" t="s">
        <v>105</v>
      </c>
      <c r="C101" s="22" t="s">
        <v>41</v>
      </c>
      <c r="D101" s="22" t="s">
        <v>42</v>
      </c>
      <c r="E101" s="6" t="s">
        <v>43</v>
      </c>
      <c r="F101" s="22" t="s">
        <v>49</v>
      </c>
      <c r="G101" s="22" t="s">
        <v>62</v>
      </c>
      <c r="H101" s="22" t="s">
        <v>71</v>
      </c>
      <c r="I101" s="20" t="s">
        <v>106</v>
      </c>
      <c r="J101" s="27" t="s">
        <v>5</v>
      </c>
      <c r="K101" s="23" t="s">
        <v>6</v>
      </c>
      <c r="L101" s="20" t="str">
        <f t="shared" ref="L101:L103" si="21">IF(K101="","—",IF(J101=K101,"MATCH","MISMATCH"))</f>
        <v>MISMATCH</v>
      </c>
    </row>
    <row r="102" ht="15.0" customHeight="1">
      <c r="A102" s="24">
        <v>161.0</v>
      </c>
      <c r="B102" s="25" t="s">
        <v>105</v>
      </c>
      <c r="C102" s="26" t="s">
        <v>41</v>
      </c>
      <c r="D102" s="26" t="s">
        <v>42</v>
      </c>
      <c r="E102" s="8" t="s">
        <v>43</v>
      </c>
      <c r="F102" s="26" t="s">
        <v>107</v>
      </c>
      <c r="G102" s="26" t="s">
        <v>62</v>
      </c>
      <c r="H102" s="26" t="s">
        <v>71</v>
      </c>
      <c r="I102" s="24" t="s">
        <v>106</v>
      </c>
      <c r="J102" s="27" t="s">
        <v>5</v>
      </c>
      <c r="K102" s="23" t="s">
        <v>6</v>
      </c>
      <c r="L102" s="24" t="str">
        <f t="shared" si="21"/>
        <v>MISMATCH</v>
      </c>
    </row>
    <row r="103" ht="15.0" customHeight="1">
      <c r="A103" s="20">
        <v>162.0</v>
      </c>
      <c r="B103" s="21" t="s">
        <v>105</v>
      </c>
      <c r="C103" s="22" t="s">
        <v>75</v>
      </c>
      <c r="D103" s="22" t="s">
        <v>76</v>
      </c>
      <c r="E103" s="6" t="s">
        <v>43</v>
      </c>
      <c r="F103" s="22" t="s">
        <v>49</v>
      </c>
      <c r="G103" s="22" t="s">
        <v>62</v>
      </c>
      <c r="H103" s="22" t="s">
        <v>71</v>
      </c>
      <c r="I103" s="20" t="s">
        <v>106</v>
      </c>
      <c r="J103" s="27" t="s">
        <v>5</v>
      </c>
      <c r="K103" s="23" t="s">
        <v>6</v>
      </c>
      <c r="L103" s="20" t="str">
        <f t="shared" si="21"/>
        <v>MISMATCH</v>
      </c>
    </row>
    <row r="104" ht="15.75" customHeight="1"/>
    <row r="105" ht="15.0" customHeight="1">
      <c r="A105" s="34" t="s">
        <v>108</v>
      </c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15"/>
    </row>
    <row r="106" ht="15.0" customHeight="1">
      <c r="A106" s="24">
        <v>163.0</v>
      </c>
      <c r="B106" s="25" t="s">
        <v>108</v>
      </c>
      <c r="C106" s="26" t="s">
        <v>41</v>
      </c>
      <c r="D106" s="26" t="s">
        <v>42</v>
      </c>
      <c r="E106" s="8" t="s">
        <v>43</v>
      </c>
      <c r="F106" s="26" t="s">
        <v>44</v>
      </c>
      <c r="G106" s="26" t="s">
        <v>62</v>
      </c>
      <c r="H106" s="26" t="s">
        <v>71</v>
      </c>
      <c r="I106" s="24" t="s">
        <v>106</v>
      </c>
      <c r="J106" s="28" t="s">
        <v>6</v>
      </c>
      <c r="K106" s="23" t="s">
        <v>6</v>
      </c>
      <c r="L106" s="24" t="str">
        <f t="shared" ref="L106:L108" si="22">IF(K106="","—",IF(J106=K106,"MATCH","MISMATCH"))</f>
        <v>MATCH</v>
      </c>
    </row>
    <row r="107" ht="15.0" customHeight="1">
      <c r="A107" s="20">
        <v>164.0</v>
      </c>
      <c r="B107" s="21" t="s">
        <v>108</v>
      </c>
      <c r="C107" s="22" t="s">
        <v>41</v>
      </c>
      <c r="D107" s="22" t="s">
        <v>42</v>
      </c>
      <c r="E107" s="6" t="s">
        <v>43</v>
      </c>
      <c r="F107" s="22" t="s">
        <v>48</v>
      </c>
      <c r="G107" s="22" t="s">
        <v>62</v>
      </c>
      <c r="H107" s="22" t="s">
        <v>71</v>
      </c>
      <c r="I107" s="20" t="s">
        <v>106</v>
      </c>
      <c r="J107" s="28" t="s">
        <v>6</v>
      </c>
      <c r="K107" s="23" t="s">
        <v>6</v>
      </c>
      <c r="L107" s="20" t="str">
        <f t="shared" si="22"/>
        <v>MATCH</v>
      </c>
    </row>
    <row r="108" ht="15.0" customHeight="1">
      <c r="A108" s="24">
        <v>165.0</v>
      </c>
      <c r="B108" s="25" t="s">
        <v>108</v>
      </c>
      <c r="C108" s="26" t="s">
        <v>41</v>
      </c>
      <c r="D108" s="26" t="s">
        <v>42</v>
      </c>
      <c r="E108" s="8" t="s">
        <v>43</v>
      </c>
      <c r="F108" s="26" t="s">
        <v>57</v>
      </c>
      <c r="G108" s="26" t="s">
        <v>62</v>
      </c>
      <c r="H108" s="26" t="s">
        <v>71</v>
      </c>
      <c r="I108" s="24" t="s">
        <v>106</v>
      </c>
      <c r="J108" s="28" t="s">
        <v>6</v>
      </c>
      <c r="K108" s="23" t="s">
        <v>6</v>
      </c>
      <c r="L108" s="24" t="str">
        <f t="shared" si="22"/>
        <v>MATCH</v>
      </c>
    </row>
    <row r="109" ht="15.75" customHeight="1"/>
    <row r="110" ht="15.0" customHeight="1">
      <c r="A110" s="34" t="s">
        <v>109</v>
      </c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5"/>
    </row>
    <row r="111" ht="15.0" customHeight="1">
      <c r="A111" s="20">
        <v>166.0</v>
      </c>
      <c r="B111" s="21" t="s">
        <v>109</v>
      </c>
      <c r="C111" s="22" t="s">
        <v>41</v>
      </c>
      <c r="D111" s="22" t="s">
        <v>42</v>
      </c>
      <c r="E111" s="6" t="s">
        <v>43</v>
      </c>
      <c r="F111" s="22" t="s">
        <v>44</v>
      </c>
      <c r="G111" s="22" t="s">
        <v>62</v>
      </c>
      <c r="H111" s="22" t="s">
        <v>68</v>
      </c>
      <c r="I111" s="20" t="s">
        <v>106</v>
      </c>
      <c r="J111" s="32" t="s">
        <v>7</v>
      </c>
      <c r="K111" s="23" t="s">
        <v>7</v>
      </c>
      <c r="L111" s="20" t="str">
        <f t="shared" ref="L111:L113" si="23">IF(K111="","—",IF(J111=K111,"MATCH","MISMATCH"))</f>
        <v>MATCH</v>
      </c>
    </row>
    <row r="112" ht="15.0" customHeight="1">
      <c r="A112" s="24">
        <v>167.0</v>
      </c>
      <c r="B112" s="25" t="s">
        <v>109</v>
      </c>
      <c r="C112" s="26" t="s">
        <v>41</v>
      </c>
      <c r="D112" s="26" t="s">
        <v>42</v>
      </c>
      <c r="E112" s="8" t="s">
        <v>43</v>
      </c>
      <c r="F112" s="26" t="s">
        <v>48</v>
      </c>
      <c r="G112" s="26" t="s">
        <v>62</v>
      </c>
      <c r="H112" s="26" t="s">
        <v>68</v>
      </c>
      <c r="I112" s="24" t="s">
        <v>106</v>
      </c>
      <c r="J112" s="32" t="s">
        <v>7</v>
      </c>
      <c r="K112" s="23" t="s">
        <v>7</v>
      </c>
      <c r="L112" s="24" t="str">
        <f t="shared" si="23"/>
        <v>MATCH</v>
      </c>
    </row>
    <row r="113" ht="15.0" customHeight="1">
      <c r="A113" s="20">
        <v>168.0</v>
      </c>
      <c r="B113" s="21" t="s">
        <v>109</v>
      </c>
      <c r="C113" s="22" t="s">
        <v>41</v>
      </c>
      <c r="D113" s="22" t="s">
        <v>42</v>
      </c>
      <c r="E113" s="6" t="s">
        <v>43</v>
      </c>
      <c r="F113" s="22" t="s">
        <v>49</v>
      </c>
      <c r="G113" s="22" t="s">
        <v>62</v>
      </c>
      <c r="H113" s="22" t="s">
        <v>68</v>
      </c>
      <c r="I113" s="20" t="s">
        <v>106</v>
      </c>
      <c r="J113" s="32" t="s">
        <v>7</v>
      </c>
      <c r="K113" s="23" t="s">
        <v>7</v>
      </c>
      <c r="L113" s="20" t="str">
        <f t="shared" si="23"/>
        <v>MATCH</v>
      </c>
    </row>
    <row r="114" ht="15.75" customHeight="1"/>
    <row r="115" ht="15.0" customHeight="1">
      <c r="A115" s="34" t="s">
        <v>111</v>
      </c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15"/>
    </row>
    <row r="116" ht="15.0" customHeight="1">
      <c r="A116" s="24">
        <v>169.0</v>
      </c>
      <c r="B116" s="25" t="s">
        <v>111</v>
      </c>
      <c r="C116" s="26" t="s">
        <v>41</v>
      </c>
      <c r="D116" s="26" t="s">
        <v>42</v>
      </c>
      <c r="E116" s="8" t="s">
        <v>43</v>
      </c>
      <c r="F116" s="26" t="s">
        <v>44</v>
      </c>
      <c r="G116" s="26" t="s">
        <v>62</v>
      </c>
      <c r="H116" s="26" t="s">
        <v>63</v>
      </c>
      <c r="I116" s="24" t="s">
        <v>106</v>
      </c>
      <c r="J116" s="28" t="s">
        <v>6</v>
      </c>
      <c r="K116" s="23" t="s">
        <v>6</v>
      </c>
      <c r="L116" s="24" t="str">
        <f t="shared" ref="L116:L118" si="24">IF(K116="","—",IF(J116=K116,"MATCH","MISMATCH"))</f>
        <v>MATCH</v>
      </c>
    </row>
    <row r="117" ht="15.0" customHeight="1">
      <c r="A117" s="20">
        <v>170.0</v>
      </c>
      <c r="B117" s="21" t="s">
        <v>111</v>
      </c>
      <c r="C117" s="22" t="s">
        <v>41</v>
      </c>
      <c r="D117" s="22" t="s">
        <v>42</v>
      </c>
      <c r="E117" s="6" t="s">
        <v>43</v>
      </c>
      <c r="F117" s="22" t="s">
        <v>48</v>
      </c>
      <c r="G117" s="22" t="s">
        <v>62</v>
      </c>
      <c r="H117" s="22" t="s">
        <v>63</v>
      </c>
      <c r="I117" s="20" t="s">
        <v>106</v>
      </c>
      <c r="J117" s="28" t="s">
        <v>6</v>
      </c>
      <c r="K117" s="23" t="s">
        <v>6</v>
      </c>
      <c r="L117" s="20" t="str">
        <f t="shared" si="24"/>
        <v>MATCH</v>
      </c>
    </row>
    <row r="118" ht="15.0" customHeight="1">
      <c r="A118" s="24">
        <v>171.0</v>
      </c>
      <c r="B118" s="25" t="s">
        <v>111</v>
      </c>
      <c r="C118" s="26" t="s">
        <v>41</v>
      </c>
      <c r="D118" s="26" t="s">
        <v>42</v>
      </c>
      <c r="E118" s="8" t="s">
        <v>43</v>
      </c>
      <c r="F118" s="26" t="s">
        <v>49</v>
      </c>
      <c r="G118" s="26" t="s">
        <v>62</v>
      </c>
      <c r="H118" s="26" t="s">
        <v>63</v>
      </c>
      <c r="I118" s="24" t="s">
        <v>106</v>
      </c>
      <c r="J118" s="28" t="s">
        <v>6</v>
      </c>
      <c r="K118" s="23" t="s">
        <v>6</v>
      </c>
      <c r="L118" s="24" t="str">
        <f t="shared" si="24"/>
        <v>MATCH</v>
      </c>
    </row>
    <row r="119" ht="15.75" customHeight="1"/>
    <row r="120" ht="15.0" customHeight="1">
      <c r="A120" s="34" t="s">
        <v>112</v>
      </c>
      <c r="B120" s="14"/>
      <c r="C120" s="14"/>
      <c r="D120" s="14"/>
      <c r="E120" s="14"/>
      <c r="F120" s="14"/>
      <c r="G120" s="14"/>
      <c r="H120" s="14"/>
      <c r="I120" s="14"/>
      <c r="J120" s="14"/>
      <c r="K120" s="14"/>
      <c r="L120" s="15"/>
    </row>
    <row r="121" ht="15.0" customHeight="1">
      <c r="A121" s="20">
        <v>172.0</v>
      </c>
      <c r="B121" s="21" t="s">
        <v>112</v>
      </c>
      <c r="C121" s="22" t="s">
        <v>41</v>
      </c>
      <c r="D121" s="22" t="s">
        <v>42</v>
      </c>
      <c r="E121" s="6" t="s">
        <v>43</v>
      </c>
      <c r="F121" s="22" t="s">
        <v>44</v>
      </c>
      <c r="G121" s="22" t="s">
        <v>62</v>
      </c>
      <c r="H121" s="22" t="s">
        <v>73</v>
      </c>
      <c r="I121" s="20" t="s">
        <v>106</v>
      </c>
      <c r="J121" s="32" t="s">
        <v>7</v>
      </c>
      <c r="K121" s="23" t="s">
        <v>7</v>
      </c>
      <c r="L121" s="20" t="str">
        <f t="shared" ref="L121:L123" si="25">IF(K121="","—",IF(J121=K121,"MATCH","MISMATCH"))</f>
        <v>MATCH</v>
      </c>
    </row>
    <row r="122" ht="15.0" customHeight="1">
      <c r="A122" s="24">
        <v>173.0</v>
      </c>
      <c r="B122" s="25" t="s">
        <v>112</v>
      </c>
      <c r="C122" s="26" t="s">
        <v>41</v>
      </c>
      <c r="D122" s="26" t="s">
        <v>42</v>
      </c>
      <c r="E122" s="8" t="s">
        <v>43</v>
      </c>
      <c r="F122" s="26" t="s">
        <v>48</v>
      </c>
      <c r="G122" s="26" t="s">
        <v>62</v>
      </c>
      <c r="H122" s="26" t="s">
        <v>73</v>
      </c>
      <c r="I122" s="24" t="s">
        <v>106</v>
      </c>
      <c r="J122" s="32" t="s">
        <v>7</v>
      </c>
      <c r="K122" s="23" t="s">
        <v>7</v>
      </c>
      <c r="L122" s="24" t="str">
        <f t="shared" si="25"/>
        <v>MATCH</v>
      </c>
    </row>
    <row r="123" ht="15.0" customHeight="1">
      <c r="A123" s="20">
        <v>174.0</v>
      </c>
      <c r="B123" s="21" t="s">
        <v>112</v>
      </c>
      <c r="C123" s="22" t="s">
        <v>41</v>
      </c>
      <c r="D123" s="22" t="s">
        <v>42</v>
      </c>
      <c r="E123" s="6" t="s">
        <v>43</v>
      </c>
      <c r="F123" s="22" t="s">
        <v>49</v>
      </c>
      <c r="G123" s="22" t="s">
        <v>62</v>
      </c>
      <c r="H123" s="22" t="s">
        <v>73</v>
      </c>
      <c r="I123" s="20" t="s">
        <v>106</v>
      </c>
      <c r="J123" s="32" t="s">
        <v>7</v>
      </c>
      <c r="K123" s="23" t="s">
        <v>7</v>
      </c>
      <c r="L123" s="20" t="str">
        <f t="shared" si="25"/>
        <v>MATCH</v>
      </c>
    </row>
    <row r="124" ht="15.75" customHeight="1"/>
    <row r="125" ht="15.0" customHeight="1">
      <c r="A125" s="34" t="s">
        <v>113</v>
      </c>
      <c r="B125" s="14"/>
      <c r="C125" s="14"/>
      <c r="D125" s="14"/>
      <c r="E125" s="14"/>
      <c r="F125" s="14"/>
      <c r="G125" s="14"/>
      <c r="H125" s="14"/>
      <c r="I125" s="14"/>
      <c r="J125" s="14"/>
      <c r="K125" s="14"/>
      <c r="L125" s="15"/>
    </row>
    <row r="126" ht="15.0" customHeight="1">
      <c r="A126" s="24">
        <v>175.0</v>
      </c>
      <c r="B126" s="25" t="s">
        <v>113</v>
      </c>
      <c r="C126" s="26" t="s">
        <v>41</v>
      </c>
      <c r="D126" s="26" t="s">
        <v>42</v>
      </c>
      <c r="E126" s="8" t="s">
        <v>66</v>
      </c>
      <c r="F126" s="26" t="s">
        <v>44</v>
      </c>
      <c r="G126" s="26" t="s">
        <v>62</v>
      </c>
      <c r="H126" s="26" t="s">
        <v>63</v>
      </c>
      <c r="I126" s="24" t="s">
        <v>106</v>
      </c>
      <c r="J126" s="32" t="s">
        <v>7</v>
      </c>
      <c r="K126" s="23" t="s">
        <v>7</v>
      </c>
      <c r="L126" s="24" t="str">
        <f t="shared" ref="L126:L128" si="26">IF(K126="","—",IF(J126=K126,"MATCH","MISMATCH"))</f>
        <v>MATCH</v>
      </c>
    </row>
    <row r="127" ht="15.0" customHeight="1">
      <c r="A127" s="20">
        <v>176.0</v>
      </c>
      <c r="B127" s="21" t="s">
        <v>113</v>
      </c>
      <c r="C127" s="22" t="s">
        <v>41</v>
      </c>
      <c r="D127" s="22" t="s">
        <v>42</v>
      </c>
      <c r="E127" s="6" t="s">
        <v>66</v>
      </c>
      <c r="F127" s="22" t="s">
        <v>83</v>
      </c>
      <c r="G127" s="22" t="s">
        <v>62</v>
      </c>
      <c r="H127" s="22" t="s">
        <v>63</v>
      </c>
      <c r="I127" s="20" t="s">
        <v>106</v>
      </c>
      <c r="J127" s="32" t="s">
        <v>7</v>
      </c>
      <c r="K127" s="23" t="s">
        <v>7</v>
      </c>
      <c r="L127" s="20" t="str">
        <f t="shared" si="26"/>
        <v>MATCH</v>
      </c>
    </row>
    <row r="128" ht="15.0" customHeight="1">
      <c r="A128" s="24">
        <v>177.0</v>
      </c>
      <c r="B128" s="25" t="s">
        <v>113</v>
      </c>
      <c r="C128" s="26" t="s">
        <v>41</v>
      </c>
      <c r="D128" s="26" t="s">
        <v>42</v>
      </c>
      <c r="E128" s="8" t="s">
        <v>66</v>
      </c>
      <c r="F128" s="26" t="s">
        <v>48</v>
      </c>
      <c r="G128" s="26" t="s">
        <v>62</v>
      </c>
      <c r="H128" s="26" t="s">
        <v>63</v>
      </c>
      <c r="I128" s="24" t="s">
        <v>106</v>
      </c>
      <c r="J128" s="32" t="s">
        <v>7</v>
      </c>
      <c r="K128" s="23" t="s">
        <v>7</v>
      </c>
      <c r="L128" s="24" t="str">
        <f t="shared" si="26"/>
        <v>MATCH</v>
      </c>
    </row>
    <row r="129" ht="15.75" customHeight="1"/>
    <row r="130" ht="15.0" customHeight="1">
      <c r="A130" s="34" t="s">
        <v>114</v>
      </c>
      <c r="B130" s="14"/>
      <c r="C130" s="14"/>
      <c r="D130" s="14"/>
      <c r="E130" s="14"/>
      <c r="F130" s="14"/>
      <c r="G130" s="14"/>
      <c r="H130" s="14"/>
      <c r="I130" s="14"/>
      <c r="J130" s="14"/>
      <c r="K130" s="14"/>
      <c r="L130" s="15"/>
    </row>
    <row r="131" ht="15.0" customHeight="1">
      <c r="A131" s="20">
        <v>178.0</v>
      </c>
      <c r="B131" s="21" t="s">
        <v>114</v>
      </c>
      <c r="C131" s="22" t="s">
        <v>51</v>
      </c>
      <c r="D131" s="22" t="s">
        <v>52</v>
      </c>
      <c r="E131" s="6" t="s">
        <v>66</v>
      </c>
      <c r="F131" s="22" t="s">
        <v>49</v>
      </c>
      <c r="G131" s="22" t="s">
        <v>62</v>
      </c>
      <c r="H131" s="22" t="s">
        <v>68</v>
      </c>
      <c r="I131" s="20" t="s">
        <v>106</v>
      </c>
      <c r="J131" s="32" t="s">
        <v>7</v>
      </c>
      <c r="K131" s="23" t="s">
        <v>6</v>
      </c>
      <c r="L131" s="20" t="str">
        <f t="shared" ref="L131:L133" si="27">IF(K131="","—",IF(J131=K131,"MATCH","MISMATCH"))</f>
        <v>MISMATCH</v>
      </c>
    </row>
    <row r="132" ht="15.0" customHeight="1">
      <c r="A132" s="24">
        <v>179.0</v>
      </c>
      <c r="B132" s="25" t="s">
        <v>114</v>
      </c>
      <c r="C132" s="26" t="s">
        <v>51</v>
      </c>
      <c r="D132" s="26" t="s">
        <v>52</v>
      </c>
      <c r="E132" s="8" t="s">
        <v>66</v>
      </c>
      <c r="F132" s="26" t="s">
        <v>107</v>
      </c>
      <c r="G132" s="26" t="s">
        <v>62</v>
      </c>
      <c r="H132" s="26" t="s">
        <v>68</v>
      </c>
      <c r="I132" s="24" t="s">
        <v>106</v>
      </c>
      <c r="J132" s="32" t="s">
        <v>7</v>
      </c>
      <c r="K132" s="23" t="s">
        <v>6</v>
      </c>
      <c r="L132" s="24" t="str">
        <f t="shared" si="27"/>
        <v>MISMATCH</v>
      </c>
    </row>
    <row r="133" ht="15.0" customHeight="1">
      <c r="A133" s="20">
        <v>180.0</v>
      </c>
      <c r="B133" s="21" t="s">
        <v>114</v>
      </c>
      <c r="C133" s="22" t="s">
        <v>51</v>
      </c>
      <c r="D133" s="22" t="s">
        <v>52</v>
      </c>
      <c r="E133" s="6" t="s">
        <v>66</v>
      </c>
      <c r="F133" s="22" t="s">
        <v>115</v>
      </c>
      <c r="G133" s="22" t="s">
        <v>62</v>
      </c>
      <c r="H133" s="22" t="s">
        <v>68</v>
      </c>
      <c r="I133" s="20" t="s">
        <v>106</v>
      </c>
      <c r="J133" s="32" t="s">
        <v>7</v>
      </c>
      <c r="K133" s="23" t="s">
        <v>6</v>
      </c>
      <c r="L133" s="20" t="str">
        <f t="shared" si="27"/>
        <v>MISMATCH</v>
      </c>
    </row>
    <row r="134" ht="15.75" customHeight="1"/>
    <row r="135" ht="15.0" customHeight="1">
      <c r="A135" s="34" t="s">
        <v>116</v>
      </c>
      <c r="B135" s="14"/>
      <c r="C135" s="14"/>
      <c r="D135" s="14"/>
      <c r="E135" s="14"/>
      <c r="F135" s="14"/>
      <c r="G135" s="14"/>
      <c r="H135" s="14"/>
      <c r="I135" s="14"/>
      <c r="J135" s="14"/>
      <c r="K135" s="14"/>
      <c r="L135" s="15"/>
    </row>
    <row r="136" ht="15.0" customHeight="1">
      <c r="A136" s="24">
        <v>181.0</v>
      </c>
      <c r="B136" s="25" t="s">
        <v>116</v>
      </c>
      <c r="C136" s="26" t="s">
        <v>51</v>
      </c>
      <c r="D136" s="26" t="s">
        <v>52</v>
      </c>
      <c r="E136" s="8" t="s">
        <v>66</v>
      </c>
      <c r="F136" s="26" t="s">
        <v>44</v>
      </c>
      <c r="G136" s="26" t="s">
        <v>62</v>
      </c>
      <c r="H136" s="26" t="s">
        <v>63</v>
      </c>
      <c r="I136" s="24" t="s">
        <v>106</v>
      </c>
      <c r="J136" s="28" t="s">
        <v>6</v>
      </c>
      <c r="K136" s="23" t="s">
        <v>6</v>
      </c>
      <c r="L136" s="24" t="str">
        <f t="shared" ref="L136:L138" si="28">IF(K136="","—",IF(J136=K136,"MATCH","MISMATCH"))</f>
        <v>MATCH</v>
      </c>
    </row>
    <row r="137" ht="15.0" customHeight="1">
      <c r="A137" s="20">
        <v>182.0</v>
      </c>
      <c r="B137" s="21" t="s">
        <v>116</v>
      </c>
      <c r="C137" s="22" t="s">
        <v>51</v>
      </c>
      <c r="D137" s="22" t="s">
        <v>52</v>
      </c>
      <c r="E137" s="6" t="s">
        <v>66</v>
      </c>
      <c r="F137" s="22" t="s">
        <v>83</v>
      </c>
      <c r="G137" s="22" t="s">
        <v>62</v>
      </c>
      <c r="H137" s="22" t="s">
        <v>63</v>
      </c>
      <c r="I137" s="20" t="s">
        <v>106</v>
      </c>
      <c r="J137" s="28" t="s">
        <v>6</v>
      </c>
      <c r="K137" s="23" t="s">
        <v>6</v>
      </c>
      <c r="L137" s="20" t="str">
        <f t="shared" si="28"/>
        <v>MATCH</v>
      </c>
    </row>
    <row r="138" ht="15.0" customHeight="1">
      <c r="A138" s="24">
        <v>183.0</v>
      </c>
      <c r="B138" s="25" t="s">
        <v>116</v>
      </c>
      <c r="C138" s="26" t="s">
        <v>51</v>
      </c>
      <c r="D138" s="26" t="s">
        <v>52</v>
      </c>
      <c r="E138" s="8" t="s">
        <v>66</v>
      </c>
      <c r="F138" s="26" t="s">
        <v>48</v>
      </c>
      <c r="G138" s="26" t="s">
        <v>62</v>
      </c>
      <c r="H138" s="26" t="s">
        <v>63</v>
      </c>
      <c r="I138" s="24" t="s">
        <v>106</v>
      </c>
      <c r="J138" s="28" t="s">
        <v>6</v>
      </c>
      <c r="K138" s="23" t="s">
        <v>6</v>
      </c>
      <c r="L138" s="24" t="str">
        <f t="shared" si="28"/>
        <v>MATCH</v>
      </c>
    </row>
    <row r="139" ht="15.75" customHeight="1"/>
    <row r="140" ht="15.0" customHeight="1">
      <c r="A140" s="34" t="s">
        <v>117</v>
      </c>
      <c r="B140" s="14"/>
      <c r="C140" s="14"/>
      <c r="D140" s="14"/>
      <c r="E140" s="14"/>
      <c r="F140" s="14"/>
      <c r="G140" s="14"/>
      <c r="H140" s="14"/>
      <c r="I140" s="14"/>
      <c r="J140" s="14"/>
      <c r="K140" s="14"/>
      <c r="L140" s="15"/>
    </row>
    <row r="141" ht="15.0" customHeight="1">
      <c r="A141" s="20">
        <v>184.0</v>
      </c>
      <c r="B141" s="21" t="s">
        <v>117</v>
      </c>
      <c r="C141" s="22" t="s">
        <v>51</v>
      </c>
      <c r="D141" s="22" t="s">
        <v>52</v>
      </c>
      <c r="E141" s="6" t="s">
        <v>66</v>
      </c>
      <c r="F141" s="22" t="s">
        <v>49</v>
      </c>
      <c r="G141" s="22" t="s">
        <v>62</v>
      </c>
      <c r="H141" s="22" t="s">
        <v>63</v>
      </c>
      <c r="I141" s="20" t="s">
        <v>106</v>
      </c>
      <c r="J141" s="28" t="s">
        <v>6</v>
      </c>
      <c r="K141" s="23" t="s">
        <v>6</v>
      </c>
      <c r="L141" s="20" t="str">
        <f t="shared" ref="L141:L143" si="29">IF(K141="","—",IF(J141=K141,"MATCH","MISMATCH"))</f>
        <v>MATCH</v>
      </c>
    </row>
    <row r="142" ht="15.0" customHeight="1">
      <c r="A142" s="24">
        <v>185.0</v>
      </c>
      <c r="B142" s="25" t="s">
        <v>117</v>
      </c>
      <c r="C142" s="26" t="s">
        <v>51</v>
      </c>
      <c r="D142" s="26" t="s">
        <v>52</v>
      </c>
      <c r="E142" s="8" t="s">
        <v>66</v>
      </c>
      <c r="F142" s="26" t="s">
        <v>107</v>
      </c>
      <c r="G142" s="26" t="s">
        <v>62</v>
      </c>
      <c r="H142" s="26" t="s">
        <v>63</v>
      </c>
      <c r="I142" s="24" t="s">
        <v>106</v>
      </c>
      <c r="J142" s="28" t="s">
        <v>6</v>
      </c>
      <c r="K142" s="23" t="s">
        <v>6</v>
      </c>
      <c r="L142" s="24" t="str">
        <f t="shared" si="29"/>
        <v>MATCH</v>
      </c>
    </row>
    <row r="143" ht="15.0" customHeight="1">
      <c r="A143" s="20">
        <v>186.0</v>
      </c>
      <c r="B143" s="21" t="s">
        <v>117</v>
      </c>
      <c r="C143" s="22" t="s">
        <v>51</v>
      </c>
      <c r="D143" s="22" t="s">
        <v>52</v>
      </c>
      <c r="E143" s="6" t="s">
        <v>66</v>
      </c>
      <c r="F143" s="22" t="s">
        <v>115</v>
      </c>
      <c r="G143" s="22" t="s">
        <v>62</v>
      </c>
      <c r="H143" s="22" t="s">
        <v>63</v>
      </c>
      <c r="I143" s="20" t="s">
        <v>106</v>
      </c>
      <c r="J143" s="28" t="s">
        <v>6</v>
      </c>
      <c r="K143" s="23" t="s">
        <v>6</v>
      </c>
      <c r="L143" s="20" t="str">
        <f t="shared" si="29"/>
        <v>MATCH</v>
      </c>
    </row>
    <row r="144" ht="15.75" customHeight="1"/>
    <row r="145" ht="13.5" customHeight="1">
      <c r="A145" s="29" t="s">
        <v>124</v>
      </c>
      <c r="B145" s="14"/>
      <c r="C145" s="14"/>
      <c r="D145" s="14"/>
      <c r="E145" s="14"/>
      <c r="F145" s="14"/>
      <c r="G145" s="14"/>
      <c r="H145" s="14"/>
      <c r="I145" s="14"/>
      <c r="J145" s="14"/>
      <c r="K145" s="14"/>
      <c r="L145" s="15"/>
    </row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3">
    <mergeCell ref="A1:L1"/>
    <mergeCell ref="A2:L2"/>
    <mergeCell ref="A4:L4"/>
    <mergeCell ref="A9:L9"/>
    <mergeCell ref="A14:L14"/>
    <mergeCell ref="A19:L19"/>
    <mergeCell ref="A24:L24"/>
    <mergeCell ref="A29:L29"/>
    <mergeCell ref="A34:L34"/>
    <mergeCell ref="A39:L39"/>
    <mergeCell ref="A43:L43"/>
    <mergeCell ref="A48:L48"/>
    <mergeCell ref="A52:L52"/>
    <mergeCell ref="A57:L57"/>
    <mergeCell ref="A60:L60"/>
    <mergeCell ref="A64:L64"/>
    <mergeCell ref="A69:L69"/>
    <mergeCell ref="A73:L73"/>
    <mergeCell ref="A78:L78"/>
    <mergeCell ref="A82:L82"/>
    <mergeCell ref="A86:L86"/>
    <mergeCell ref="A125:L125"/>
    <mergeCell ref="A130:L130"/>
    <mergeCell ref="A135:L135"/>
    <mergeCell ref="A140:L140"/>
    <mergeCell ref="A145:L145"/>
    <mergeCell ref="A90:L90"/>
    <mergeCell ref="A95:L95"/>
    <mergeCell ref="A100:L100"/>
    <mergeCell ref="A105:L105"/>
    <mergeCell ref="A110:L110"/>
    <mergeCell ref="A115:L115"/>
    <mergeCell ref="A120:L120"/>
  </mergeCells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2026-03-24T04:17:00Z</dcterms:created>
  <dc:creator>openpyxl</dc:creator>
</cp:coreProperties>
</file>