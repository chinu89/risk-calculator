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-identified" sheetId="2" state="visible" r:id="rId2"/>
    <sheet xmlns:r="http://schemas.openxmlformats.org/officeDocument/2006/relationships" name="Redacted" sheetId="3" state="visible" r:id="rId3"/>
    <sheet xmlns:r="http://schemas.openxmlformats.org/officeDocument/2006/relationships" name="Physical Safegu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E3A5F"/>
      <sz val="9"/>
    </font>
    <font>
      <name val="Arial"/>
      <b val="1"/>
      <color rgb="00FFFFFF"/>
      <sz val="9"/>
    </font>
    <font>
      <name val="Arial"/>
      <b val="1"/>
      <color rgb="001E3A5F"/>
      <sz val="9"/>
    </font>
    <font>
      <name val="Arial"/>
      <color rgb="006B7280"/>
      <sz val="9"/>
    </font>
    <font>
      <name val="Arial"/>
      <color rgb="00111827"/>
      <sz val="9"/>
    </font>
    <font>
      <name val="Arial"/>
      <b val="1"/>
      <color rgb="00065F46"/>
      <sz val="9"/>
    </font>
    <font>
      <name val="Arial"/>
      <b val="1"/>
      <color rgb="0092400E"/>
      <sz val="9"/>
    </font>
    <font>
      <name val="Arial"/>
      <b val="1"/>
      <color rgb="007C2D12"/>
      <sz val="9"/>
    </font>
    <font>
      <name val="Arial"/>
      <color rgb="006B7280"/>
      <sz val="8"/>
    </font>
    <font>
      <name val="Arial"/>
      <b val="1"/>
      <color rgb="007F1D1D"/>
      <sz val="9"/>
    </font>
    <font>
      <name val="Arial"/>
      <b val="1"/>
      <color rgb="00FFFFFF"/>
      <sz val="11"/>
    </font>
    <font>
      <name val="Arial"/>
      <b val="1"/>
      <color rgb="00111827"/>
      <sz val="9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C7D2FE"/>
      </patternFill>
    </fill>
    <fill>
      <patternFill patternType="solid">
        <fgColor rgb="00F7F8FC"/>
      </patternFill>
    </fill>
    <fill>
      <patternFill patternType="solid">
        <fgColor rgb="00ECFDF5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FFF7ED"/>
      </patternFill>
    </fill>
    <fill>
      <patternFill patternType="solid">
        <fgColor rgb="0086EFAC"/>
      </patternFill>
    </fill>
    <fill>
      <patternFill patternType="solid">
        <fgColor rgb="00FEF2F2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CBD0DF"/>
      </left>
      <right style="thin">
        <color rgb="00CBD0DF"/>
      </right>
      <top style="thin">
        <color rgb="00CBD0DF"/>
      </top>
      <bottom style="thin">
        <color rgb="00CBD0D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4" fillId="3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2" fillId="9" borderId="0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0" customWidth="1" min="2" max="2"/>
    <col width="8" customWidth="1" min="3" max="3"/>
    <col width="8" customWidth="1" min="4" max="4"/>
    <col width="12" customWidth="1" min="5" max="5"/>
    <col width="8" customWidth="1" min="6" max="6"/>
    <col width="10" customWidth="1" min="7" max="7"/>
  </cols>
  <sheetData>
    <row r="1" ht="24" customHeight="1">
      <c r="A1" s="1" t="inlineStr">
        <is>
          <t>Radar Test Cases — Paper Protection Measures  |  v13 Decision Tree  |  186 cases across 3 protection levels</t>
        </is>
      </c>
    </row>
    <row r="2" ht="18" customHeight="1">
      <c r="A2" s="2" t="inlineStr">
        <is>
          <t>Protection Level</t>
        </is>
      </c>
      <c r="B2" s="2" t="inlineStr">
        <is>
          <t>Score</t>
        </is>
      </c>
      <c r="C2" s="2" t="inlineStr">
        <is>
          <t>Cases</t>
        </is>
      </c>
      <c r="D2" s="2" t="inlineStr">
        <is>
          <t>LOW</t>
        </is>
      </c>
      <c r="E2" s="2" t="inlineStr">
        <is>
          <t>MODERATE</t>
        </is>
      </c>
      <c r="F2" s="2" t="inlineStr">
        <is>
          <t>HIGH</t>
        </is>
      </c>
      <c r="G2" s="2" t="inlineStr">
        <is>
          <t>EXTREME</t>
        </is>
      </c>
    </row>
    <row r="3" ht="16" customHeight="1">
      <c r="A3" s="3" t="inlineStr">
        <is>
          <t>Statistically de-identified</t>
        </is>
      </c>
      <c r="B3" s="4" t="n">
        <v>0.1</v>
      </c>
      <c r="C3" s="4" t="n">
        <v>25</v>
      </c>
      <c r="D3" s="4" t="n">
        <v>19</v>
      </c>
      <c r="E3" s="4" t="n">
        <v>5</v>
      </c>
      <c r="F3" s="4" t="n">
        <v>1</v>
      </c>
      <c r="G3" s="4" t="n">
        <v>0</v>
      </c>
    </row>
    <row r="4" ht="16" customHeight="1">
      <c r="A4" s="5" t="inlineStr">
        <is>
          <t>Redacted</t>
        </is>
      </c>
      <c r="B4" s="6" t="n">
        <v>0.2</v>
      </c>
      <c r="C4" s="6" t="n">
        <v>80</v>
      </c>
      <c r="D4" s="6" t="n">
        <v>20</v>
      </c>
      <c r="E4" s="6" t="n">
        <v>21</v>
      </c>
      <c r="F4" s="6" t="n">
        <v>24</v>
      </c>
      <c r="G4" s="6" t="n">
        <v>15</v>
      </c>
    </row>
    <row r="5" ht="16" customHeight="1">
      <c r="A5" s="3" t="inlineStr">
        <is>
          <t>Under physical safeguard</t>
        </is>
      </c>
      <c r="B5" s="4" t="n">
        <v>0.25</v>
      </c>
      <c r="C5" s="4" t="n">
        <v>81</v>
      </c>
      <c r="D5" s="4" t="n">
        <v>20</v>
      </c>
      <c r="E5" s="4" t="n">
        <v>24</v>
      </c>
      <c r="F5" s="4" t="n">
        <v>24</v>
      </c>
      <c r="G5" s="4" t="n">
        <v>13</v>
      </c>
    </row>
    <row r="6" ht="18" customHeight="1">
      <c r="A6" s="7" t="inlineStr">
        <is>
          <t>TOTAL</t>
        </is>
      </c>
      <c r="B6" s="8" t="inlineStr">
        <is>
          <t>—</t>
        </is>
      </c>
      <c r="C6" s="8" t="n">
        <v>186</v>
      </c>
      <c r="D6" s="8" t="n">
        <v>59</v>
      </c>
      <c r="E6" s="8" t="n">
        <v>50</v>
      </c>
      <c r="F6" s="8" t="n">
        <v>49</v>
      </c>
      <c r="G6" s="8" t="n">
        <v>28</v>
      </c>
    </row>
    <row r="8" ht="16" customHeight="1">
      <c r="A8" s="9" t="inlineStr">
        <is>
          <t>Key Decision Rules to Validate</t>
        </is>
      </c>
    </row>
    <row r="9" ht="28" customHeight="1">
      <c r="A9" s="10" t="inlineStr">
        <is>
          <t>Note 1</t>
        </is>
      </c>
      <c r="B9" s="11" t="inlineStr">
        <is>
          <t>Protection = De-identified (0.10): most cases route through Gate 2 — default LOW. Exceptions: hacker/media + malicious + bad-mit → MODERATE or HIGH.</t>
        </is>
      </c>
    </row>
    <row r="10" ht="28" customHeight="1">
      <c r="A10" s="10" t="inlineStr">
        <is>
          <t>Note 2</t>
        </is>
      </c>
      <c r="B10" s="11" t="inlineStr">
        <is>
          <t>Protection = Redacted (0.20): hacker/media + malicious via Gate 1b → EXTREME (prot≤0.20 threshold). Physical safeguard (0.25) gives HIGH instead.</t>
        </is>
      </c>
    </row>
    <row r="11" ht="28" customHeight="1">
      <c r="A11" s="10" t="inlineStr">
        <is>
          <t>Note 3</t>
        </is>
      </c>
      <c r="B11" s="11" t="inlineStr">
        <is>
          <t>Gate 1b authorized: prot&lt;0.85 → MODERATE regardless of mitigation strength (Q7/Q9 confirmed). This differs from plain text (0.85) which gives LOW for strong mits.</t>
        </is>
      </c>
    </row>
    <row r="12" ht="28" customHeight="1">
      <c r="A12" s="10" t="inlineStr">
        <is>
          <t>Note 4</t>
        </is>
      </c>
      <c r="B12" s="11" t="inlineStr">
        <is>
          <t>Gate 3 authorized: confirmed_viewing splits by obligated (HIGH) vs non-obligated (MOD). ransomware_confirmed + malicious → EXTREME.</t>
        </is>
      </c>
    </row>
    <row r="13" ht="28" customHeight="1">
      <c r="A13" s="10" t="inlineStr">
        <is>
          <t>Note 5</t>
        </is>
      </c>
      <c r="B13" s="11" t="inlineStr">
        <is>
          <t>Gate 3 unauthorized + unintentional: LEGALLY_OBLIGATED desc → HIGH; non-obligated + G3_EXTREME → EXTREME; others → HIGH.</t>
        </is>
      </c>
    </row>
    <row r="14" ht="28" customHeight="1">
      <c r="A14" s="10" t="inlineStr">
        <is>
          <t>Note 6</t>
        </is>
      </c>
      <c r="B14" s="11" t="inlineStr">
        <is>
          <t>N/A mitigations: company_policy not shown for unauthorized recipients; ssn_exposed not shown for media. These combos are excluded.</t>
        </is>
      </c>
    </row>
  </sheetData>
  <mergeCells count="8">
    <mergeCell ref="B12:F12"/>
    <mergeCell ref="B10:F10"/>
    <mergeCell ref="B11:F11"/>
    <mergeCell ref="A1:F1"/>
    <mergeCell ref="A8:F8"/>
    <mergeCell ref="B14:F14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2" customWidth="1" min="4" max="4"/>
    <col width="14" customWidth="1" min="5" max="5"/>
    <col width="38" customWidth="1" min="6" max="6"/>
    <col width="28" customWidth="1" min="7" max="7"/>
    <col width="52" customWidth="1" min="8" max="8"/>
    <col width="10" customWidth="1" min="9" max="9"/>
    <col width="14" customWidth="1" min="10" max="10"/>
    <col width="18" customWidth="1" min="11" max="11"/>
    <col width="10" customWidth="1" min="12" max="12"/>
  </cols>
  <sheetData>
    <row r="1" ht="22" customHeight="1">
      <c r="A1" s="12" t="inlineStr">
        <is>
          <t>Paper · Statistically de-identified — Untested cases for Radar verification  |  v13 Prediction col K · Enter Radar result col L · Match auto-calculates col M</t>
        </is>
      </c>
    </row>
    <row r="2" ht="16" customHeight="1">
      <c r="A2" s="13" t="inlineStr">
        <is>
          <t>25 cases  ·  Category = Paper  ·  Statistically de-identified  ·  1 HIGH  ·  19 LOW  ·  5 MODERATE</t>
        </is>
      </c>
    </row>
    <row r="3" ht="28" customHeight="1">
      <c r="A3" s="14" t="inlineStr">
        <is>
          <t>#</t>
        </is>
      </c>
      <c r="B3" s="14" t="inlineStr">
        <is>
          <t>Decision Path</t>
        </is>
      </c>
      <c r="C3" s="14" t="inlineStr">
        <is>
          <t>Incident Nature</t>
        </is>
      </c>
      <c r="D3" s="14" t="inlineStr">
        <is>
          <t>Compromise</t>
        </is>
      </c>
      <c r="E3" s="14" t="inlineStr">
        <is>
          <t>Recipient Type</t>
        </is>
      </c>
      <c r="F3" s="14" t="inlineStr">
        <is>
          <t>Recipient Description</t>
        </is>
      </c>
      <c r="G3" s="14" t="inlineStr">
        <is>
          <t>Disposition</t>
        </is>
      </c>
      <c r="H3" s="14" t="inlineStr">
        <is>
          <t>Mitigation</t>
        </is>
      </c>
      <c r="I3" s="14" t="inlineStr">
        <is>
          <t>Gate</t>
        </is>
      </c>
      <c r="J3" s="14" t="inlineStr">
        <is>
          <t>v13 Prediction</t>
        </is>
      </c>
      <c r="K3" s="14" t="inlineStr">
        <is>
          <t>Radar Result
(enter here)</t>
        </is>
      </c>
      <c r="L3" s="14" t="inlineStr">
        <is>
          <t>Match</t>
        </is>
      </c>
    </row>
    <row r="4" ht="15" customHeight="1">
      <c r="A4" s="15" t="inlineStr">
        <is>
          <t>Gate 1a — Confirmed safe (authorized)</t>
        </is>
      </c>
    </row>
    <row r="5" ht="15" customHeight="1">
      <c r="A5" s="16" t="n">
        <v>1</v>
      </c>
      <c r="B5" s="17" t="inlineStr">
        <is>
          <t>Gate 1a — Confirmed safe (authorized)</t>
        </is>
      </c>
      <c r="C5" s="18" t="inlineStr">
        <is>
          <t>Intentional, malicious</t>
        </is>
      </c>
      <c r="D5" s="18" t="inlineStr">
        <is>
          <t>Hacking or malware other than ransomware</t>
        </is>
      </c>
      <c r="E5" s="4" t="inlineStr">
        <is>
          <t>authorized</t>
        </is>
      </c>
      <c r="F5" s="18" t="inlineStr">
        <is>
          <t>Covered entity</t>
        </is>
      </c>
      <c r="G5" s="18" t="inlineStr">
        <is>
          <t>Sufficient risk mitigation</t>
        </is>
      </c>
      <c r="H5" s="18" t="inlineStr">
        <is>
          <t>Recipient had the opportunity, but did not view, access, transfer, or use the data (unopened returned mail)</t>
        </is>
      </c>
      <c r="I5" s="16" t="inlineStr">
        <is>
          <t>Gate 1a</t>
        </is>
      </c>
      <c r="J5" s="8" t="inlineStr">
        <is>
          <t>LOW</t>
        </is>
      </c>
      <c r="K5" s="19" t="inlineStr"/>
      <c r="L5" s="16">
        <f>IF(K5="","—",IF(J5=K5,"MATCH","MISMATCH"))</f>
        <v/>
      </c>
    </row>
    <row r="6" ht="15" customHeight="1">
      <c r="A6" s="20" t="n">
        <v>2</v>
      </c>
      <c r="B6" s="21" t="inlineStr">
        <is>
          <t>Gate 1a — Confirmed safe (authorized)</t>
        </is>
      </c>
      <c r="C6" s="22" t="inlineStr">
        <is>
          <t>Intentional, malicious</t>
        </is>
      </c>
      <c r="D6" s="22" t="inlineStr">
        <is>
          <t>Hacking or malware other than ransomware</t>
        </is>
      </c>
      <c r="E6" s="6" t="inlineStr">
        <is>
          <t>authorized</t>
        </is>
      </c>
      <c r="F6" s="22" t="inlineStr">
        <is>
          <t>Business associate</t>
        </is>
      </c>
      <c r="G6" s="22" t="inlineStr">
        <is>
          <t>Sufficient risk mitigation</t>
        </is>
      </c>
      <c r="H6" s="22" t="inlineStr">
        <is>
          <t>Recipient had the opportunity, but did not view, access, transfer, or use the data (unopened returned mail)</t>
        </is>
      </c>
      <c r="I6" s="20" t="inlineStr">
        <is>
          <t>Gate 1a</t>
        </is>
      </c>
      <c r="J6" s="8" t="inlineStr">
        <is>
          <t>LOW</t>
        </is>
      </c>
      <c r="K6" s="19" t="inlineStr"/>
      <c r="L6" s="20">
        <f>IF(K6="","—",IF(J6=K6,"MATCH","MISMATCH"))</f>
        <v/>
      </c>
    </row>
    <row r="7" ht="15" customHeight="1">
      <c r="A7" s="16" t="n">
        <v>3</v>
      </c>
      <c r="B7" s="17" t="inlineStr">
        <is>
          <t>Gate 1a — Confirmed safe (authorized)</t>
        </is>
      </c>
      <c r="C7" s="18" t="inlineStr">
        <is>
          <t>Intentional, malicious</t>
        </is>
      </c>
      <c r="D7" s="18" t="inlineStr">
        <is>
          <t>Hacking or malware other than ransomware</t>
        </is>
      </c>
      <c r="E7" s="4" t="inlineStr">
        <is>
          <t>authorized</t>
        </is>
      </c>
      <c r="F7" s="18" t="inlineStr">
        <is>
          <t>Service provider</t>
        </is>
      </c>
      <c r="G7" s="18" t="inlineStr">
        <is>
          <t>Sufficient risk mitigation</t>
        </is>
      </c>
      <c r="H7" s="18" t="inlineStr">
        <is>
          <t>Recipient had the opportunity, but did not view, access, transfer, or use the data (unopened returned mail)</t>
        </is>
      </c>
      <c r="I7" s="16" t="inlineStr">
        <is>
          <t>Gate 1a</t>
        </is>
      </c>
      <c r="J7" s="8" t="inlineStr">
        <is>
          <t>LOW</t>
        </is>
      </c>
      <c r="K7" s="19" t="inlineStr"/>
      <c r="L7" s="16">
        <f>IF(K7="","—",IF(J7=K7,"MATCH","MISMATCH"))</f>
        <v/>
      </c>
    </row>
    <row r="9" ht="15" customHeight="1">
      <c r="A9" s="15" t="inlineStr">
        <is>
          <t>Gate 1a — No-written-obtained + CE/fed + non-mal → LOW</t>
        </is>
      </c>
    </row>
    <row r="10" ht="15" customHeight="1">
      <c r="A10" s="20" t="n">
        <v>4</v>
      </c>
      <c r="B10" s="21" t="inlineStr">
        <is>
          <t>Gate 1a — No-written-obtained + CE/fed + non-mal → LOW</t>
        </is>
      </c>
      <c r="C10" s="22" t="inlineStr">
        <is>
          <t>Unintentional or inadvertent</t>
        </is>
      </c>
      <c r="D10" s="22" t="inlineStr">
        <is>
          <t>Disclosure</t>
        </is>
      </c>
      <c r="E10" s="6" t="inlineStr">
        <is>
          <t>authorized</t>
        </is>
      </c>
      <c r="F10" s="22" t="inlineStr">
        <is>
          <t>Covered entity</t>
        </is>
      </c>
      <c r="G10" s="22" t="inlineStr">
        <is>
          <t>Sufficient risk mitigation</t>
        </is>
      </c>
      <c r="H10" s="22" t="inlineStr">
        <is>
          <t>No written assurance was obtained</t>
        </is>
      </c>
      <c r="I10" s="20" t="inlineStr">
        <is>
          <t>Gate 1a</t>
        </is>
      </c>
      <c r="J10" s="8" t="inlineStr">
        <is>
          <t>LOW</t>
        </is>
      </c>
      <c r="K10" s="19" t="inlineStr"/>
      <c r="L10" s="20">
        <f>IF(K10="","—",IF(J10=K10,"MATCH","MISMATCH"))</f>
        <v/>
      </c>
    </row>
    <row r="11" ht="15" customHeight="1">
      <c r="A11" s="16" t="n">
        <v>5</v>
      </c>
      <c r="B11" s="17" t="inlineStr">
        <is>
          <t>Gate 1a — No-written-obtained + CE/fed + non-mal → LOW</t>
        </is>
      </c>
      <c r="C11" s="18" t="inlineStr">
        <is>
          <t>Unintentional or inadvertent</t>
        </is>
      </c>
      <c r="D11" s="18" t="inlineStr">
        <is>
          <t>Disclosure</t>
        </is>
      </c>
      <c r="E11" s="4" t="inlineStr">
        <is>
          <t>authorized</t>
        </is>
      </c>
      <c r="F11" s="18" t="inlineStr">
        <is>
          <t>Federal agency obligated to Privacy Act of 1974 and FISMA</t>
        </is>
      </c>
      <c r="G11" s="18" t="inlineStr">
        <is>
          <t>Sufficient risk mitigation</t>
        </is>
      </c>
      <c r="H11" s="18" t="inlineStr">
        <is>
          <t>No written assurance was obtained</t>
        </is>
      </c>
      <c r="I11" s="16" t="inlineStr">
        <is>
          <t>Gate 1a</t>
        </is>
      </c>
      <c r="J11" s="8" t="inlineStr">
        <is>
          <t>LOW</t>
        </is>
      </c>
      <c r="K11" s="19" t="inlineStr"/>
      <c r="L11" s="16">
        <f>IF(K11="","—",IF(J11=K11,"MATCH","MISMATCH"))</f>
        <v/>
      </c>
    </row>
    <row r="13" ht="15" customHeight="1">
      <c r="A13" s="15" t="inlineStr">
        <is>
          <t>Gate 1a — Satisfactory + auth + obligated → LOW</t>
        </is>
      </c>
    </row>
    <row r="14" ht="15" customHeight="1">
      <c r="A14" s="20" t="n">
        <v>6</v>
      </c>
      <c r="B14" s="21" t="inlineStr">
        <is>
          <t>Gate 1a — Satisfactory + auth + obligated → LOW</t>
        </is>
      </c>
      <c r="C14" s="22" t="inlineStr">
        <is>
          <t>Intentional, malicious</t>
        </is>
      </c>
      <c r="D14" s="22" t="inlineStr">
        <is>
          <t>Hacking or malware other than ransomware</t>
        </is>
      </c>
      <c r="E14" s="6" t="inlineStr">
        <is>
          <t>authorized</t>
        </is>
      </c>
      <c r="F14" s="22" t="inlineStr">
        <is>
          <t>Covered entity</t>
        </is>
      </c>
      <c r="G14" s="22" t="inlineStr">
        <is>
          <t>Sufficient risk mitigation</t>
        </is>
      </c>
      <c r="H14" s="22" t="inlineStr">
        <is>
          <t>Satisfactory assurance was obtained from a recipient obligated to protect personal data</t>
        </is>
      </c>
      <c r="I14" s="20" t="inlineStr">
        <is>
          <t>Gate 1a</t>
        </is>
      </c>
      <c r="J14" s="8" t="inlineStr">
        <is>
          <t>LOW</t>
        </is>
      </c>
      <c r="K14" s="19" t="inlineStr"/>
      <c r="L14" s="20">
        <f>IF(K14="","—",IF(J14=K14,"MATCH","MISMATCH"))</f>
        <v/>
      </c>
    </row>
    <row r="15" ht="15" customHeight="1">
      <c r="A15" s="16" t="n">
        <v>7</v>
      </c>
      <c r="B15" s="17" t="inlineStr">
        <is>
          <t>Gate 1a — Satisfactory + auth + obligated → LOW</t>
        </is>
      </c>
      <c r="C15" s="18" t="inlineStr">
        <is>
          <t>Intentional, malicious</t>
        </is>
      </c>
      <c r="D15" s="18" t="inlineStr">
        <is>
          <t>Hacking or malware other than ransomware</t>
        </is>
      </c>
      <c r="E15" s="4" t="inlineStr">
        <is>
          <t>authorized</t>
        </is>
      </c>
      <c r="F15" s="18" t="inlineStr">
        <is>
          <t>Business associate</t>
        </is>
      </c>
      <c r="G15" s="18" t="inlineStr">
        <is>
          <t>Sufficient risk mitigation</t>
        </is>
      </c>
      <c r="H15" s="18" t="inlineStr">
        <is>
          <t>Satisfactory assurance was obtained from a recipient obligated to protect personal data</t>
        </is>
      </c>
      <c r="I15" s="16" t="inlineStr">
        <is>
          <t>Gate 1a</t>
        </is>
      </c>
      <c r="J15" s="8" t="inlineStr">
        <is>
          <t>LOW</t>
        </is>
      </c>
      <c r="K15" s="19" t="inlineStr"/>
      <c r="L15" s="16">
        <f>IF(K15="","—",IF(J15=K15,"MATCH","MISMATCH"))</f>
        <v/>
      </c>
    </row>
    <row r="16" ht="15" customHeight="1">
      <c r="A16" s="20" t="n">
        <v>8</v>
      </c>
      <c r="B16" s="21" t="inlineStr">
        <is>
          <t>Gate 1a — Satisfactory + auth + obligated → LOW</t>
        </is>
      </c>
      <c r="C16" s="22" t="inlineStr">
        <is>
          <t>Intentional, malicious</t>
        </is>
      </c>
      <c r="D16" s="22" t="inlineStr">
        <is>
          <t>Hacking or malware other than ransomware</t>
        </is>
      </c>
      <c r="E16" s="6" t="inlineStr">
        <is>
          <t>authorized</t>
        </is>
      </c>
      <c r="F16" s="22" t="inlineStr">
        <is>
          <t>Registered investment advisor</t>
        </is>
      </c>
      <c r="G16" s="22" t="inlineStr">
        <is>
          <t>Sufficient risk mitigation</t>
        </is>
      </c>
      <c r="H16" s="22" t="inlineStr">
        <is>
          <t>Satisfactory assurance was obtained from a recipient obligated to protect personal data</t>
        </is>
      </c>
      <c r="I16" s="20" t="inlineStr">
        <is>
          <t>Gate 1a</t>
        </is>
      </c>
      <c r="J16" s="8" t="inlineStr">
        <is>
          <t>LOW</t>
        </is>
      </c>
      <c r="K16" s="19" t="inlineStr"/>
      <c r="L16" s="20">
        <f>IF(K16="","—",IF(J16=K16,"MATCH","MISMATCH"))</f>
        <v/>
      </c>
    </row>
    <row r="18" ht="15" customHeight="1">
      <c r="A18" s="15" t="inlineStr">
        <is>
          <t>Gate 1b — De-identified → LOW</t>
        </is>
      </c>
    </row>
    <row r="19" ht="15" customHeight="1">
      <c r="A19" s="16" t="n">
        <v>9</v>
      </c>
      <c r="B19" s="17" t="inlineStr">
        <is>
          <t>Gate 1b — De-identified → LOW</t>
        </is>
      </c>
      <c r="C19" s="18" t="inlineStr">
        <is>
          <t>Intentional, malicious</t>
        </is>
      </c>
      <c r="D19" s="18" t="inlineStr">
        <is>
          <t>Hacking or malware other than ransomware</t>
        </is>
      </c>
      <c r="E19" s="4" t="inlineStr">
        <is>
          <t>authorized</t>
        </is>
      </c>
      <c r="F19" s="18" t="inlineStr">
        <is>
          <t>Covered entity</t>
        </is>
      </c>
      <c r="G19" s="18" t="inlineStr">
        <is>
          <t>Sufficient risk mitigation</t>
        </is>
      </c>
      <c r="H19" s="18" t="inlineStr">
        <is>
          <t>Recipient confirmed receipt and use of data as permitted</t>
        </is>
      </c>
      <c r="I19" s="16" t="inlineStr">
        <is>
          <t>Gate 1b</t>
        </is>
      </c>
      <c r="J19" s="8" t="inlineStr">
        <is>
          <t>LOW</t>
        </is>
      </c>
      <c r="K19" s="19" t="inlineStr"/>
      <c r="L19" s="16">
        <f>IF(K19="","—",IF(J19=K19,"MATCH","MISMATCH"))</f>
        <v/>
      </c>
    </row>
    <row r="20" ht="15" customHeight="1">
      <c r="A20" s="20" t="n">
        <v>10</v>
      </c>
      <c r="B20" s="21" t="inlineStr">
        <is>
          <t>Gate 1b — De-identified → LOW</t>
        </is>
      </c>
      <c r="C20" s="22" t="inlineStr">
        <is>
          <t>Intentional, malicious</t>
        </is>
      </c>
      <c r="D20" s="22" t="inlineStr">
        <is>
          <t>Hacking or malware other than ransomware</t>
        </is>
      </c>
      <c r="E20" s="6" t="inlineStr">
        <is>
          <t>authorized</t>
        </is>
      </c>
      <c r="F20" s="22" t="inlineStr">
        <is>
          <t>Business associate</t>
        </is>
      </c>
      <c r="G20" s="22" t="inlineStr">
        <is>
          <t>Sufficient risk mitigation</t>
        </is>
      </c>
      <c r="H20" s="22" t="inlineStr">
        <is>
          <t>Recipient confirmed receipt and use of data as permitted</t>
        </is>
      </c>
      <c r="I20" s="20" t="inlineStr">
        <is>
          <t>Gate 1b</t>
        </is>
      </c>
      <c r="J20" s="8" t="inlineStr">
        <is>
          <t>LOW</t>
        </is>
      </c>
      <c r="K20" s="19" t="inlineStr"/>
      <c r="L20" s="20">
        <f>IF(K20="","—",IF(J20=K20,"MATCH","MISMATCH"))</f>
        <v/>
      </c>
    </row>
    <row r="21" ht="15" customHeight="1">
      <c r="A21" s="16" t="n">
        <v>11</v>
      </c>
      <c r="B21" s="17" t="inlineStr">
        <is>
          <t>Gate 1b — De-identified → LOW</t>
        </is>
      </c>
      <c r="C21" s="18" t="inlineStr">
        <is>
          <t>Intentional, malicious</t>
        </is>
      </c>
      <c r="D21" s="18" t="inlineStr">
        <is>
          <t>Hacking or malware other than ransomware</t>
        </is>
      </c>
      <c r="E21" s="4" t="inlineStr">
        <is>
          <t>authorized</t>
        </is>
      </c>
      <c r="F21" s="18" t="inlineStr">
        <is>
          <t>Service provider</t>
        </is>
      </c>
      <c r="G21" s="18" t="inlineStr">
        <is>
          <t>Sufficient risk mitigation</t>
        </is>
      </c>
      <c r="H21" s="18" t="inlineStr">
        <is>
          <t>Recipient confirmed receipt and use of data as permitted</t>
        </is>
      </c>
      <c r="I21" s="16" t="inlineStr">
        <is>
          <t>Gate 1b</t>
        </is>
      </c>
      <c r="J21" s="8" t="inlineStr">
        <is>
          <t>LOW</t>
        </is>
      </c>
      <c r="K21" s="19" t="inlineStr"/>
      <c r="L21" s="16">
        <f>IF(K21="","—",IF(J21=K21,"MATCH","MISMATCH"))</f>
        <v/>
      </c>
    </row>
    <row r="23" ht="15" customHeight="1">
      <c r="A23" s="15" t="inlineStr">
        <is>
          <t>Gate 2 — Default → LOW</t>
        </is>
      </c>
    </row>
    <row r="24" ht="15" customHeight="1">
      <c r="A24" s="20" t="n">
        <v>12</v>
      </c>
      <c r="B24" s="21" t="inlineStr">
        <is>
          <t>Gate 2 — Default → LOW</t>
        </is>
      </c>
      <c r="C24" s="22" t="inlineStr">
        <is>
          <t>Intentional, malicious</t>
        </is>
      </c>
      <c r="D24" s="22" t="inlineStr">
        <is>
          <t>Hacking or malware other than ransomware</t>
        </is>
      </c>
      <c r="E24" s="6" t="inlineStr">
        <is>
          <t>authorized</t>
        </is>
      </c>
      <c r="F24" s="22" t="inlineStr">
        <is>
          <t>Covered entity</t>
        </is>
      </c>
      <c r="G24" s="22" t="inlineStr">
        <is>
          <t>Insufficient or unknown risk mitigation</t>
        </is>
      </c>
      <c r="H24" s="22" t="inlineStr">
        <is>
          <t>Destroyed properly but unsure of backup or copy status</t>
        </is>
      </c>
      <c r="I24" s="20" t="inlineStr">
        <is>
          <t>Gate 2</t>
        </is>
      </c>
      <c r="J24" s="8" t="inlineStr">
        <is>
          <t>LOW</t>
        </is>
      </c>
      <c r="K24" s="19" t="inlineStr"/>
      <c r="L24" s="20">
        <f>IF(K24="","—",IF(J24=K24,"MATCH","MISMATCH"))</f>
        <v/>
      </c>
    </row>
    <row r="25" ht="15" customHeight="1">
      <c r="A25" s="16" t="n">
        <v>13</v>
      </c>
      <c r="B25" s="17" t="inlineStr">
        <is>
          <t>Gate 2 — Default → LOW</t>
        </is>
      </c>
      <c r="C25" s="18" t="inlineStr">
        <is>
          <t>Intentional, malicious</t>
        </is>
      </c>
      <c r="D25" s="18" t="inlineStr">
        <is>
          <t>Hacking or malware other than ransomware</t>
        </is>
      </c>
      <c r="E25" s="4" t="inlineStr">
        <is>
          <t>authorized</t>
        </is>
      </c>
      <c r="F25" s="18" t="inlineStr">
        <is>
          <t>Business associate</t>
        </is>
      </c>
      <c r="G25" s="18" t="inlineStr">
        <is>
          <t>Insufficient or unknown risk mitigation</t>
        </is>
      </c>
      <c r="H25" s="18" t="inlineStr">
        <is>
          <t>Destroyed properly but unsure of backup or copy status</t>
        </is>
      </c>
      <c r="I25" s="16" t="inlineStr">
        <is>
          <t>Gate 2</t>
        </is>
      </c>
      <c r="J25" s="8" t="inlineStr">
        <is>
          <t>LOW</t>
        </is>
      </c>
      <c r="K25" s="19" t="inlineStr"/>
      <c r="L25" s="16">
        <f>IF(K25="","—",IF(J25=K25,"MATCH","MISMATCH"))</f>
        <v/>
      </c>
    </row>
    <row r="26" ht="15" customHeight="1">
      <c r="A26" s="20" t="n">
        <v>14</v>
      </c>
      <c r="B26" s="21" t="inlineStr">
        <is>
          <t>Gate 2 — Default → LOW</t>
        </is>
      </c>
      <c r="C26" s="22" t="inlineStr">
        <is>
          <t>Intentional, malicious</t>
        </is>
      </c>
      <c r="D26" s="22" t="inlineStr">
        <is>
          <t>Hacking or malware other than ransomware</t>
        </is>
      </c>
      <c r="E26" s="6" t="inlineStr">
        <is>
          <t>authorized</t>
        </is>
      </c>
      <c r="F26" s="22" t="inlineStr">
        <is>
          <t>Service provider</t>
        </is>
      </c>
      <c r="G26" s="22" t="inlineStr">
        <is>
          <t>Insufficient or unknown risk mitigation</t>
        </is>
      </c>
      <c r="H26" s="22" t="inlineStr">
        <is>
          <t>Destroyed properly but unsure of backup or copy status</t>
        </is>
      </c>
      <c r="I26" s="20" t="inlineStr">
        <is>
          <t>Gate 2</t>
        </is>
      </c>
      <c r="J26" s="8" t="inlineStr">
        <is>
          <t>LOW</t>
        </is>
      </c>
      <c r="K26" s="19" t="inlineStr"/>
      <c r="L26" s="20">
        <f>IF(K26="","—",IF(J26=K26,"MATCH","MISMATCH"))</f>
        <v/>
      </c>
    </row>
    <row r="28" ht="15" customHeight="1">
      <c r="A28" s="15" t="inlineStr">
        <is>
          <t>Gate 2 — Hacker/media + malicious + bad-mit → MOD</t>
        </is>
      </c>
    </row>
    <row r="29" ht="15" customHeight="1">
      <c r="A29" s="16" t="n">
        <v>15</v>
      </c>
      <c r="B29" s="17" t="inlineStr">
        <is>
          <t>Gate 2 — Hacker/media + malicious + bad-mit → MOD</t>
        </is>
      </c>
      <c r="C29" s="18" t="inlineStr">
        <is>
          <t>Intentional, malicious</t>
        </is>
      </c>
      <c r="D29" s="18" t="inlineStr">
        <is>
          <t>Hacking or malware other than ransomware</t>
        </is>
      </c>
      <c r="E29" s="4" t="inlineStr">
        <is>
          <t>unauthorized</t>
        </is>
      </c>
      <c r="F29" s="18" t="inlineStr">
        <is>
          <t>Hacker or thief</t>
        </is>
      </c>
      <c r="G29" s="18" t="inlineStr">
        <is>
          <t>Insufficient or unknown risk mitigation</t>
        </is>
      </c>
      <c r="H29" s="18" t="inlineStr">
        <is>
          <t>Confirmed improper use or further exposure</t>
        </is>
      </c>
      <c r="I29" s="16" t="inlineStr">
        <is>
          <t>Gate 2</t>
        </is>
      </c>
      <c r="J29" s="19" t="inlineStr">
        <is>
          <t>MODERATE</t>
        </is>
      </c>
      <c r="K29" s="19" t="inlineStr"/>
      <c r="L29" s="16">
        <f>IF(K29="","—",IF(J29=K29,"MATCH","MISMATCH"))</f>
        <v/>
      </c>
    </row>
    <row r="30" ht="15" customHeight="1">
      <c r="A30" s="20" t="n">
        <v>16</v>
      </c>
      <c r="B30" s="21" t="inlineStr">
        <is>
          <t>Gate 2 — Hacker/media + malicious + bad-mit → MOD</t>
        </is>
      </c>
      <c r="C30" s="22" t="inlineStr">
        <is>
          <t>Intentional, malicious</t>
        </is>
      </c>
      <c r="D30" s="22" t="inlineStr">
        <is>
          <t>Hacking or malware other than ransomware</t>
        </is>
      </c>
      <c r="E30" s="6" t="inlineStr">
        <is>
          <t>unauthorized</t>
        </is>
      </c>
      <c r="F30" s="22" t="inlineStr">
        <is>
          <t>Media</t>
        </is>
      </c>
      <c r="G30" s="22" t="inlineStr">
        <is>
          <t>Insufficient or unknown risk mitigation</t>
        </is>
      </c>
      <c r="H30" s="22" t="inlineStr">
        <is>
          <t>Confirmed improper use or further exposure</t>
        </is>
      </c>
      <c r="I30" s="20" t="inlineStr">
        <is>
          <t>Gate 2</t>
        </is>
      </c>
      <c r="J30" s="19" t="inlineStr">
        <is>
          <t>MODERATE</t>
        </is>
      </c>
      <c r="K30" s="19" t="inlineStr"/>
      <c r="L30" s="20">
        <f>IF(K30="","—",IF(J30=K30,"MATCH","MISMATCH"))</f>
        <v/>
      </c>
    </row>
    <row r="32" ht="15" customHeight="1">
      <c r="A32" s="15" t="inlineStr">
        <is>
          <t>Gate 2 — Hacker/media + malicious + other → LOW</t>
        </is>
      </c>
    </row>
    <row r="33" ht="15" customHeight="1">
      <c r="A33" s="16" t="n">
        <v>17</v>
      </c>
      <c r="B33" s="17" t="inlineStr">
        <is>
          <t>Gate 2 — Hacker/media + malicious + other → LOW</t>
        </is>
      </c>
      <c r="C33" s="18" t="inlineStr">
        <is>
          <t>Intentional, malicious</t>
        </is>
      </c>
      <c r="D33" s="18" t="inlineStr">
        <is>
          <t>Hacking or malware other than ransomware</t>
        </is>
      </c>
      <c r="E33" s="4" t="inlineStr">
        <is>
          <t>unauthorized</t>
        </is>
      </c>
      <c r="F33" s="18" t="inlineStr">
        <is>
          <t>Hacker or thief</t>
        </is>
      </c>
      <c r="G33" s="18" t="inlineStr">
        <is>
          <t>Insufficient or unknown risk mitigation</t>
        </is>
      </c>
      <c r="H33" s="18" t="inlineStr">
        <is>
          <t>Destroyed properly but unsure of backup or copy status</t>
        </is>
      </c>
      <c r="I33" s="16" t="inlineStr">
        <is>
          <t>Gate 2</t>
        </is>
      </c>
      <c r="J33" s="8" t="inlineStr">
        <is>
          <t>LOW</t>
        </is>
      </c>
      <c r="K33" s="19" t="inlineStr"/>
      <c r="L33" s="16">
        <f>IF(K33="","—",IF(J33=K33,"MATCH","MISMATCH"))</f>
        <v/>
      </c>
    </row>
    <row r="34" ht="15" customHeight="1">
      <c r="A34" s="20" t="n">
        <v>18</v>
      </c>
      <c r="B34" s="21" t="inlineStr">
        <is>
          <t>Gate 2 — Hacker/media + malicious + other → LOW</t>
        </is>
      </c>
      <c r="C34" s="22" t="inlineStr">
        <is>
          <t>Intentional, malicious</t>
        </is>
      </c>
      <c r="D34" s="22" t="inlineStr">
        <is>
          <t>Hacking or malware other than ransomware</t>
        </is>
      </c>
      <c r="E34" s="6" t="inlineStr">
        <is>
          <t>unauthorized</t>
        </is>
      </c>
      <c r="F34" s="22" t="inlineStr">
        <is>
          <t>Media</t>
        </is>
      </c>
      <c r="G34" s="22" t="inlineStr">
        <is>
          <t>Insufficient or unknown risk mitigation</t>
        </is>
      </c>
      <c r="H34" s="22" t="inlineStr">
        <is>
          <t>Confirmed viewing or acquisition without evidence of any improper use</t>
        </is>
      </c>
      <c r="I34" s="20" t="inlineStr">
        <is>
          <t>Gate 2</t>
        </is>
      </c>
      <c r="J34" s="8" t="inlineStr">
        <is>
          <t>LOW</t>
        </is>
      </c>
      <c r="K34" s="19" t="inlineStr"/>
      <c r="L34" s="20">
        <f>IF(K34="","—",IF(J34=K34,"MATCH","MISMATCH"))</f>
        <v/>
      </c>
    </row>
    <row r="36" ht="15" customHeight="1">
      <c r="A36" s="15" t="inlineStr">
        <is>
          <t>Gate 2 — Hacker/media + malicious + ransomware → HIGH</t>
        </is>
      </c>
    </row>
    <row r="37" ht="15" customHeight="1">
      <c r="A37" s="16" t="n">
        <v>19</v>
      </c>
      <c r="B37" s="17" t="inlineStr">
        <is>
          <t>Gate 2 — Hacker/media + malicious + ransomware → HIGH</t>
        </is>
      </c>
      <c r="C37" s="18" t="inlineStr">
        <is>
          <t>Intentional, malicious</t>
        </is>
      </c>
      <c r="D37" s="18" t="inlineStr">
        <is>
          <t>Hacking or malware other than ransomware</t>
        </is>
      </c>
      <c r="E37" s="4" t="inlineStr">
        <is>
          <t>unauthorized</t>
        </is>
      </c>
      <c r="F37" s="18" t="inlineStr">
        <is>
          <t>Hacker or thief</t>
        </is>
      </c>
      <c r="G37" s="18" t="inlineStr">
        <is>
          <t>Insufficient or unknown risk mitigation</t>
        </is>
      </c>
      <c r="H37" s="18" t="inlineStr">
        <is>
          <t>Confirmed ransomware acquisition with high risk to data integrity or availability</t>
        </is>
      </c>
      <c r="I37" s="16" t="inlineStr">
        <is>
          <t>Gate 2</t>
        </is>
      </c>
      <c r="J37" s="23" t="inlineStr">
        <is>
          <t>HIGH</t>
        </is>
      </c>
      <c r="K37" s="19" t="inlineStr"/>
      <c r="L37" s="16">
        <f>IF(K37="","—",IF(J37=K37,"MATCH","MISMATCH"))</f>
        <v/>
      </c>
    </row>
    <row r="39" ht="15" customHeight="1">
      <c r="A39" s="15" t="inlineStr">
        <is>
          <t>Gate 2 — Hacker/media + not-malicious → LOW</t>
        </is>
      </c>
    </row>
    <row r="40" ht="15" customHeight="1">
      <c r="A40" s="20" t="n">
        <v>20</v>
      </c>
      <c r="B40" s="21" t="inlineStr">
        <is>
          <t>Gate 2 — Hacker/media + not-malicious → LOW</t>
        </is>
      </c>
      <c r="C40" s="22" t="inlineStr">
        <is>
          <t>Intentional, not malicious</t>
        </is>
      </c>
      <c r="D40" s="22" t="inlineStr">
        <is>
          <t>Unauthorized use</t>
        </is>
      </c>
      <c r="E40" s="6" t="inlineStr">
        <is>
          <t>unauthorized</t>
        </is>
      </c>
      <c r="F40" s="22" t="inlineStr">
        <is>
          <t>Hacker or thief</t>
        </is>
      </c>
      <c r="G40" s="22" t="inlineStr">
        <is>
          <t>Insufficient or unknown risk mitigation</t>
        </is>
      </c>
      <c r="H40" s="22" t="inlineStr">
        <is>
          <t>Destroyed properly but unsure of backup or copy status</t>
        </is>
      </c>
      <c r="I40" s="20" t="inlineStr">
        <is>
          <t>Gate 2</t>
        </is>
      </c>
      <c r="J40" s="8" t="inlineStr">
        <is>
          <t>LOW</t>
        </is>
      </c>
      <c r="K40" s="19" t="inlineStr"/>
      <c r="L40" s="20">
        <f>IF(K40="","—",IF(J40=K40,"MATCH","MISMATCH"))</f>
        <v/>
      </c>
    </row>
    <row r="41" ht="15" customHeight="1">
      <c r="A41" s="16" t="n">
        <v>21</v>
      </c>
      <c r="B41" s="17" t="inlineStr">
        <is>
          <t>Gate 2 — Hacker/media + not-malicious → LOW</t>
        </is>
      </c>
      <c r="C41" s="18" t="inlineStr">
        <is>
          <t>Intentional, not malicious</t>
        </is>
      </c>
      <c r="D41" s="18" t="inlineStr">
        <is>
          <t>Unauthorized use</t>
        </is>
      </c>
      <c r="E41" s="4" t="inlineStr">
        <is>
          <t>unauthorized</t>
        </is>
      </c>
      <c r="F41" s="18" t="inlineStr">
        <is>
          <t>Media</t>
        </is>
      </c>
      <c r="G41" s="18" t="inlineStr">
        <is>
          <t>Insufficient or unknown risk mitigation</t>
        </is>
      </c>
      <c r="H41" s="18" t="inlineStr">
        <is>
          <t>Destroyed properly but unsure of backup or copy status</t>
        </is>
      </c>
      <c r="I41" s="16" t="inlineStr">
        <is>
          <t>Gate 2</t>
        </is>
      </c>
      <c r="J41" s="8" t="inlineStr">
        <is>
          <t>LOW</t>
        </is>
      </c>
      <c r="K41" s="19" t="inlineStr"/>
      <c r="L41" s="16">
        <f>IF(K41="","—",IF(J41=K41,"MATCH","MISMATCH"))</f>
        <v/>
      </c>
    </row>
    <row r="42" ht="15" customHeight="1">
      <c r="A42" s="20" t="n">
        <v>22</v>
      </c>
      <c r="B42" s="21" t="inlineStr">
        <is>
          <t>Gate 2 — Hacker/media + not-malicious → LOW</t>
        </is>
      </c>
      <c r="C42" s="22" t="inlineStr">
        <is>
          <t>Unintentional or inadvertent</t>
        </is>
      </c>
      <c r="D42" s="22" t="inlineStr">
        <is>
          <t>Disclosure</t>
        </is>
      </c>
      <c r="E42" s="6" t="inlineStr">
        <is>
          <t>unauthorized</t>
        </is>
      </c>
      <c r="F42" s="22" t="inlineStr">
        <is>
          <t>Hacker or thief</t>
        </is>
      </c>
      <c r="G42" s="22" t="inlineStr">
        <is>
          <t>Insufficient or unknown risk mitigation</t>
        </is>
      </c>
      <c r="H42" s="22" t="inlineStr">
        <is>
          <t>Destroyed properly but unsure of backup or copy status</t>
        </is>
      </c>
      <c r="I42" s="20" t="inlineStr">
        <is>
          <t>Gate 2</t>
        </is>
      </c>
      <c r="J42" s="8" t="inlineStr">
        <is>
          <t>LOW</t>
        </is>
      </c>
      <c r="K42" s="19" t="inlineStr"/>
      <c r="L42" s="20">
        <f>IF(K42="","—",IF(J42=K42,"MATCH","MISMATCH"))</f>
        <v/>
      </c>
    </row>
    <row r="44" ht="15" customHeight="1">
      <c r="A44" s="15" t="inlineStr">
        <is>
          <t>Gate 2 — Non hacker/media + ransomware → MOD</t>
        </is>
      </c>
    </row>
    <row r="45" ht="15" customHeight="1">
      <c r="A45" s="16" t="n">
        <v>23</v>
      </c>
      <c r="B45" s="17" t="inlineStr">
        <is>
          <t>Gate 2 — Non hacker/media + ransomware → MOD</t>
        </is>
      </c>
      <c r="C45" s="18" t="inlineStr">
        <is>
          <t>Intentional, malicious</t>
        </is>
      </c>
      <c r="D45" s="18" t="inlineStr">
        <is>
          <t>Hacking or malware other than ransomware</t>
        </is>
      </c>
      <c r="E45" s="4" t="inlineStr">
        <is>
          <t>authorized</t>
        </is>
      </c>
      <c r="F45" s="18" t="inlineStr">
        <is>
          <t>Covered entity</t>
        </is>
      </c>
      <c r="G45" s="18" t="inlineStr">
        <is>
          <t>Insufficient or unknown risk mitigation</t>
        </is>
      </c>
      <c r="H45" s="18" t="inlineStr">
        <is>
          <t>Confirmed ransomware acquisition with high risk to data integrity or availability</t>
        </is>
      </c>
      <c r="I45" s="16" t="inlineStr">
        <is>
          <t>Gate 2</t>
        </is>
      </c>
      <c r="J45" s="19" t="inlineStr">
        <is>
          <t>MODERATE</t>
        </is>
      </c>
      <c r="K45" s="19" t="inlineStr"/>
      <c r="L45" s="16">
        <f>IF(K45="","—",IF(J45=K45,"MATCH","MISMATCH"))</f>
        <v/>
      </c>
    </row>
    <row r="46" ht="15" customHeight="1">
      <c r="A46" s="20" t="n">
        <v>24</v>
      </c>
      <c r="B46" s="21" t="inlineStr">
        <is>
          <t>Gate 2 — Non hacker/media + ransomware → MOD</t>
        </is>
      </c>
      <c r="C46" s="22" t="inlineStr">
        <is>
          <t>Intentional, malicious</t>
        </is>
      </c>
      <c r="D46" s="22" t="inlineStr">
        <is>
          <t>Hacking or malware other than ransomware</t>
        </is>
      </c>
      <c r="E46" s="6" t="inlineStr">
        <is>
          <t>authorized</t>
        </is>
      </c>
      <c r="F46" s="22" t="inlineStr">
        <is>
          <t>Business associate</t>
        </is>
      </c>
      <c r="G46" s="22" t="inlineStr">
        <is>
          <t>Insufficient or unknown risk mitigation</t>
        </is>
      </c>
      <c r="H46" s="22" t="inlineStr">
        <is>
          <t>Confirmed ransomware acquisition with high risk to data integrity or availability</t>
        </is>
      </c>
      <c r="I46" s="20" t="inlineStr">
        <is>
          <t>Gate 2</t>
        </is>
      </c>
      <c r="J46" s="19" t="inlineStr">
        <is>
          <t>MODERATE</t>
        </is>
      </c>
      <c r="K46" s="19" t="inlineStr"/>
      <c r="L46" s="20">
        <f>IF(K46="","—",IF(J46=K46,"MATCH","MISMATCH"))</f>
        <v/>
      </c>
    </row>
    <row r="47" ht="15" customHeight="1">
      <c r="A47" s="16" t="n">
        <v>25</v>
      </c>
      <c r="B47" s="17" t="inlineStr">
        <is>
          <t>Gate 2 — Non hacker/media + ransomware → MOD</t>
        </is>
      </c>
      <c r="C47" s="18" t="inlineStr">
        <is>
          <t>Intentional, malicious</t>
        </is>
      </c>
      <c r="D47" s="18" t="inlineStr">
        <is>
          <t>Hacking or malware other than ransomware</t>
        </is>
      </c>
      <c r="E47" s="4" t="inlineStr">
        <is>
          <t>authorized</t>
        </is>
      </c>
      <c r="F47" s="18" t="inlineStr">
        <is>
          <t>Service provider</t>
        </is>
      </c>
      <c r="G47" s="18" t="inlineStr">
        <is>
          <t>Insufficient or unknown risk mitigation</t>
        </is>
      </c>
      <c r="H47" s="18" t="inlineStr">
        <is>
          <t>Confirmed ransomware acquisition with high risk to data integrity or availability</t>
        </is>
      </c>
      <c r="I47" s="16" t="inlineStr">
        <is>
          <t>Gate 2</t>
        </is>
      </c>
      <c r="J47" s="19" t="inlineStr">
        <is>
          <t>MODERATE</t>
        </is>
      </c>
      <c r="K47" s="19" t="inlineStr"/>
      <c r="L47" s="16">
        <f>IF(K47="","—",IF(J47=K47,"MATCH","MISMATCH"))</f>
        <v/>
      </c>
    </row>
    <row r="49" ht="14" customHeight="1">
      <c r="A49" s="24" t="inlineStr">
        <is>
          <t>Instructions: Run each case in RadarFirst (Paper · Statistically de-identified). Enter result in col K. Col L auto-calculates MATCH/MISMATCH.</t>
        </is>
      </c>
    </row>
  </sheetData>
  <mergeCells count="13">
    <mergeCell ref="A39:L39"/>
    <mergeCell ref="A49:L49"/>
    <mergeCell ref="A1:L1"/>
    <mergeCell ref="A23:L23"/>
    <mergeCell ref="A28:L28"/>
    <mergeCell ref="A13:L13"/>
    <mergeCell ref="A32:L32"/>
    <mergeCell ref="A36:L36"/>
    <mergeCell ref="A44:L44"/>
    <mergeCell ref="A9:L9"/>
    <mergeCell ref="A18:L18"/>
    <mergeCell ref="A2:M2"/>
    <mergeCell ref="A4:L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2" customWidth="1" min="4" max="4"/>
    <col width="14" customWidth="1" min="5" max="5"/>
    <col width="38" customWidth="1" min="6" max="6"/>
    <col width="28" customWidth="1" min="7" max="7"/>
    <col width="52" customWidth="1" min="8" max="8"/>
    <col width="10" customWidth="1" min="9" max="9"/>
    <col width="14" customWidth="1" min="10" max="10"/>
    <col width="18" customWidth="1" min="11" max="11"/>
    <col width="10" customWidth="1" min="12" max="12"/>
  </cols>
  <sheetData>
    <row r="1" ht="22" customHeight="1">
      <c r="A1" s="12" t="inlineStr">
        <is>
          <t>Paper · Redacted — Untested cases for Radar verification  |  v13 Prediction col K · Enter Radar result col L · Match auto-calculates col M</t>
        </is>
      </c>
    </row>
    <row r="2" ht="16" customHeight="1">
      <c r="A2" s="25" t="inlineStr">
        <is>
          <t>80 cases  ·  Category = Paper  ·  Redacted  ·  15 EXTREME  ·  24 HIGH  ·  20 LOW  ·  21 MODERATE</t>
        </is>
      </c>
    </row>
    <row r="3" ht="28" customHeight="1">
      <c r="A3" s="14" t="inlineStr">
        <is>
          <t>#</t>
        </is>
      </c>
      <c r="B3" s="14" t="inlineStr">
        <is>
          <t>Decision Path</t>
        </is>
      </c>
      <c r="C3" s="14" t="inlineStr">
        <is>
          <t>Incident Nature</t>
        </is>
      </c>
      <c r="D3" s="14" t="inlineStr">
        <is>
          <t>Compromise</t>
        </is>
      </c>
      <c r="E3" s="14" t="inlineStr">
        <is>
          <t>Recipient Type</t>
        </is>
      </c>
      <c r="F3" s="14" t="inlineStr">
        <is>
          <t>Recipient Description</t>
        </is>
      </c>
      <c r="G3" s="14" t="inlineStr">
        <is>
          <t>Disposition</t>
        </is>
      </c>
      <c r="H3" s="14" t="inlineStr">
        <is>
          <t>Mitigation</t>
        </is>
      </c>
      <c r="I3" s="14" t="inlineStr">
        <is>
          <t>Gate</t>
        </is>
      </c>
      <c r="J3" s="14" t="inlineStr">
        <is>
          <t>v13 Prediction</t>
        </is>
      </c>
      <c r="K3" s="14" t="inlineStr">
        <is>
          <t>Radar Result
(enter here)</t>
        </is>
      </c>
      <c r="L3" s="14" t="inlineStr">
        <is>
          <t>Match</t>
        </is>
      </c>
    </row>
    <row r="4" ht="15" customHeight="1">
      <c r="A4" s="26" t="inlineStr">
        <is>
          <t>Gate 1a — Backup + unauthorized + malicious → HIGH</t>
        </is>
      </c>
    </row>
    <row r="5" ht="15" customHeight="1">
      <c r="A5" s="16" t="n">
        <v>26</v>
      </c>
      <c r="B5" s="17" t="inlineStr">
        <is>
          <t>Gate 1a — Backup + unauthorized + malicious → HIGH</t>
        </is>
      </c>
      <c r="C5" s="18" t="inlineStr">
        <is>
          <t>Intentional, malicious</t>
        </is>
      </c>
      <c r="D5" s="18" t="inlineStr">
        <is>
          <t>Hacking or malware other than ransomware</t>
        </is>
      </c>
      <c r="E5" s="4" t="inlineStr">
        <is>
          <t>unauthorized</t>
        </is>
      </c>
      <c r="F5" s="18" t="inlineStr">
        <is>
          <t>Covered entity</t>
        </is>
      </c>
      <c r="G5" s="18" t="inlineStr">
        <is>
          <t>Sufficient risk mitigation</t>
        </is>
      </c>
      <c r="H5" s="18" t="inlineStr">
        <is>
          <t>Recovered or restored from backup without high risk to data integrity or availability</t>
        </is>
      </c>
      <c r="I5" s="16" t="inlineStr">
        <is>
          <t>Gate 1a</t>
        </is>
      </c>
      <c r="J5" s="23" t="inlineStr">
        <is>
          <t>HIGH</t>
        </is>
      </c>
      <c r="K5" s="19" t="inlineStr"/>
      <c r="L5" s="16">
        <f>IF(K5="","—",IF(J5=K5,"MATCH","MISMATCH"))</f>
        <v/>
      </c>
    </row>
    <row r="6" ht="15" customHeight="1">
      <c r="A6" s="20" t="n">
        <v>27</v>
      </c>
      <c r="B6" s="21" t="inlineStr">
        <is>
          <t>Gate 1a — Backup + unauthorized + malicious → HIGH</t>
        </is>
      </c>
      <c r="C6" s="22" t="inlineStr">
        <is>
          <t>Intentional, malicious</t>
        </is>
      </c>
      <c r="D6" s="22" t="inlineStr">
        <is>
          <t>Hacking or malware other than ransomware</t>
        </is>
      </c>
      <c r="E6" s="6" t="inlineStr">
        <is>
          <t>unauthorized</t>
        </is>
      </c>
      <c r="F6" s="22" t="inlineStr">
        <is>
          <t>Business associate or state government agency</t>
        </is>
      </c>
      <c r="G6" s="22" t="inlineStr">
        <is>
          <t>Sufficient risk mitigation</t>
        </is>
      </c>
      <c r="H6" s="22" t="inlineStr">
        <is>
          <t>Recovered or restored from backup without high risk to data integrity or availability</t>
        </is>
      </c>
      <c r="I6" s="20" t="inlineStr">
        <is>
          <t>Gate 1a</t>
        </is>
      </c>
      <c r="J6" s="23" t="inlineStr">
        <is>
          <t>HIGH</t>
        </is>
      </c>
      <c r="K6" s="19" t="inlineStr"/>
      <c r="L6" s="20">
        <f>IF(K6="","—",IF(J6=K6,"MATCH","MISMATCH"))</f>
        <v/>
      </c>
    </row>
    <row r="7" ht="15" customHeight="1">
      <c r="A7" s="16" t="n">
        <v>28</v>
      </c>
      <c r="B7" s="17" t="inlineStr">
        <is>
          <t>Gate 1a — Backup + unauthorized + malicious → HIGH</t>
        </is>
      </c>
      <c r="C7" s="18" t="inlineStr">
        <is>
          <t>Intentional, malicious</t>
        </is>
      </c>
      <c r="D7" s="18" t="inlineStr">
        <is>
          <t>Hacking or malware other than ransomware</t>
        </is>
      </c>
      <c r="E7" s="4" t="inlineStr">
        <is>
          <t>unauthorized</t>
        </is>
      </c>
      <c r="F7" s="18" t="inlineStr">
        <is>
          <t>Business associate</t>
        </is>
      </c>
      <c r="G7" s="18" t="inlineStr">
        <is>
          <t>Sufficient risk mitigation</t>
        </is>
      </c>
      <c r="H7" s="18" t="inlineStr">
        <is>
          <t>Recovered or restored from backup without high risk to data integrity or availability</t>
        </is>
      </c>
      <c r="I7" s="16" t="inlineStr">
        <is>
          <t>Gate 1a</t>
        </is>
      </c>
      <c r="J7" s="23" t="inlineStr">
        <is>
          <t>HIGH</t>
        </is>
      </c>
      <c r="K7" s="19" t="inlineStr"/>
      <c r="L7" s="16">
        <f>IF(K7="","—",IF(J7=K7,"MATCH","MISMATCH"))</f>
        <v/>
      </c>
    </row>
    <row r="9" ht="15" customHeight="1">
      <c r="A9" s="26" t="inlineStr">
        <is>
          <t>Gate 1a — Backup + unauthorized + not-malicious → MOD</t>
        </is>
      </c>
    </row>
    <row r="10" ht="15" customHeight="1">
      <c r="A10" s="20" t="n">
        <v>29</v>
      </c>
      <c r="B10" s="21" t="inlineStr">
        <is>
          <t>Gate 1a — Backup + unauthorized + not-malicious → MOD</t>
        </is>
      </c>
      <c r="C10" s="22" t="inlineStr">
        <is>
          <t>Intentional, not malicious</t>
        </is>
      </c>
      <c r="D10" s="22" t="inlineStr">
        <is>
          <t>Unauthorized use</t>
        </is>
      </c>
      <c r="E10" s="6" t="inlineStr">
        <is>
          <t>unauthorized</t>
        </is>
      </c>
      <c r="F10" s="22" t="inlineStr">
        <is>
          <t>Covered entity</t>
        </is>
      </c>
      <c r="G10" s="22" t="inlineStr">
        <is>
          <t>Sufficient risk mitigation</t>
        </is>
      </c>
      <c r="H10" s="22" t="inlineStr">
        <is>
          <t>Recovered or restored from backup without high risk to data integrity or availability</t>
        </is>
      </c>
      <c r="I10" s="20" t="inlineStr">
        <is>
          <t>Gate 1a</t>
        </is>
      </c>
      <c r="J10" s="19" t="inlineStr">
        <is>
          <t>MODERATE</t>
        </is>
      </c>
      <c r="K10" s="19" t="inlineStr"/>
      <c r="L10" s="20">
        <f>IF(K10="","—",IF(J10=K10,"MATCH","MISMATCH"))</f>
        <v/>
      </c>
    </row>
    <row r="11" ht="15" customHeight="1">
      <c r="A11" s="16" t="n">
        <v>30</v>
      </c>
      <c r="B11" s="17" t="inlineStr">
        <is>
          <t>Gate 1a — Backup + unauthorized + not-malicious → MOD</t>
        </is>
      </c>
      <c r="C11" s="18" t="inlineStr">
        <is>
          <t>Intentional, not malicious</t>
        </is>
      </c>
      <c r="D11" s="18" t="inlineStr">
        <is>
          <t>Unauthorized use</t>
        </is>
      </c>
      <c r="E11" s="4" t="inlineStr">
        <is>
          <t>unauthorized</t>
        </is>
      </c>
      <c r="F11" s="18" t="inlineStr">
        <is>
          <t>Business associate or state government agency</t>
        </is>
      </c>
      <c r="G11" s="18" t="inlineStr">
        <is>
          <t>Sufficient risk mitigation</t>
        </is>
      </c>
      <c r="H11" s="18" t="inlineStr">
        <is>
          <t>Recovered or restored from backup without high risk to data integrity or availability</t>
        </is>
      </c>
      <c r="I11" s="16" t="inlineStr">
        <is>
          <t>Gate 1a</t>
        </is>
      </c>
      <c r="J11" s="19" t="inlineStr">
        <is>
          <t>MODERATE</t>
        </is>
      </c>
      <c r="K11" s="19" t="inlineStr"/>
      <c r="L11" s="16">
        <f>IF(K11="","—",IF(J11=K11,"MATCH","MISMATCH"))</f>
        <v/>
      </c>
    </row>
    <row r="12" ht="15" customHeight="1">
      <c r="A12" s="20" t="n">
        <v>31</v>
      </c>
      <c r="B12" s="21" t="inlineStr">
        <is>
          <t>Gate 1a — Backup + unauthorized + not-malicious → MOD</t>
        </is>
      </c>
      <c r="C12" s="22" t="inlineStr">
        <is>
          <t>Intentional, not malicious</t>
        </is>
      </c>
      <c r="D12" s="22" t="inlineStr">
        <is>
          <t>Unauthorized use</t>
        </is>
      </c>
      <c r="E12" s="6" t="inlineStr">
        <is>
          <t>unauthorized</t>
        </is>
      </c>
      <c r="F12" s="22" t="inlineStr">
        <is>
          <t>Business associate</t>
        </is>
      </c>
      <c r="G12" s="22" t="inlineStr">
        <is>
          <t>Sufficient risk mitigation</t>
        </is>
      </c>
      <c r="H12" s="22" t="inlineStr">
        <is>
          <t>Recovered or restored from backup without high risk to data integrity or availability</t>
        </is>
      </c>
      <c r="I12" s="20" t="inlineStr">
        <is>
          <t>Gate 1a</t>
        </is>
      </c>
      <c r="J12" s="19" t="inlineStr">
        <is>
          <t>MODERATE</t>
        </is>
      </c>
      <c r="K12" s="19" t="inlineStr"/>
      <c r="L12" s="20">
        <f>IF(K12="","—",IF(J12=K12,"MATCH","MISMATCH"))</f>
        <v/>
      </c>
    </row>
    <row r="14" ht="15" customHeight="1">
      <c r="A14" s="26" t="inlineStr">
        <is>
          <t>Gate 1a — Backup + unauthorized + unintentional → LOW</t>
        </is>
      </c>
    </row>
    <row r="15" ht="15" customHeight="1">
      <c r="A15" s="16" t="n">
        <v>32</v>
      </c>
      <c r="B15" s="17" t="inlineStr">
        <is>
          <t>Gate 1a — Backup + unauthorized + unintentional → LOW</t>
        </is>
      </c>
      <c r="C15" s="18" t="inlineStr">
        <is>
          <t>Unintentional or inadvertent</t>
        </is>
      </c>
      <c r="D15" s="18" t="inlineStr">
        <is>
          <t>Disclosure</t>
        </is>
      </c>
      <c r="E15" s="4" t="inlineStr">
        <is>
          <t>unauthorized</t>
        </is>
      </c>
      <c r="F15" s="18" t="inlineStr">
        <is>
          <t>Covered entity</t>
        </is>
      </c>
      <c r="G15" s="18" t="inlineStr">
        <is>
          <t>Sufficient risk mitigation</t>
        </is>
      </c>
      <c r="H15" s="18" t="inlineStr">
        <is>
          <t>Recovered or restored from backup without high risk to data integrity or availability</t>
        </is>
      </c>
      <c r="I15" s="16" t="inlineStr">
        <is>
          <t>Gate 1a</t>
        </is>
      </c>
      <c r="J15" s="19" t="inlineStr">
        <is>
          <t>MODERATE</t>
        </is>
      </c>
      <c r="K15" s="19" t="inlineStr"/>
      <c r="L15" s="16">
        <f>IF(K15="","—",IF(J15=K15,"MATCH","MISMATCH"))</f>
        <v/>
      </c>
    </row>
    <row r="16" ht="15" customHeight="1">
      <c r="A16" s="20" t="n">
        <v>33</v>
      </c>
      <c r="B16" s="21" t="inlineStr">
        <is>
          <t>Gate 1a — Backup + unauthorized + unintentional → LOW</t>
        </is>
      </c>
      <c r="C16" s="22" t="inlineStr">
        <is>
          <t>Unintentional or inadvertent</t>
        </is>
      </c>
      <c r="D16" s="22" t="inlineStr">
        <is>
          <t>Disclosure</t>
        </is>
      </c>
      <c r="E16" s="6" t="inlineStr">
        <is>
          <t>unauthorized</t>
        </is>
      </c>
      <c r="F16" s="22" t="inlineStr">
        <is>
          <t>Business associate or state government agency</t>
        </is>
      </c>
      <c r="G16" s="22" t="inlineStr">
        <is>
          <t>Sufficient risk mitigation</t>
        </is>
      </c>
      <c r="H16" s="22" t="inlineStr">
        <is>
          <t>Recovered or restored from backup without high risk to data integrity or availability</t>
        </is>
      </c>
      <c r="I16" s="20" t="inlineStr">
        <is>
          <t>Gate 1a</t>
        </is>
      </c>
      <c r="J16" s="19" t="inlineStr">
        <is>
          <t>MODERATE</t>
        </is>
      </c>
      <c r="K16" s="19" t="inlineStr"/>
      <c r="L16" s="20">
        <f>IF(K16="","—",IF(J16=K16,"MATCH","MISMATCH"))</f>
        <v/>
      </c>
    </row>
    <row r="17" ht="15" customHeight="1">
      <c r="A17" s="16" t="n">
        <v>34</v>
      </c>
      <c r="B17" s="17" t="inlineStr">
        <is>
          <t>Gate 1a — Backup + unauthorized + unintentional → LOW</t>
        </is>
      </c>
      <c r="C17" s="18" t="inlineStr">
        <is>
          <t>Unintentional or inadvertent</t>
        </is>
      </c>
      <c r="D17" s="18" t="inlineStr">
        <is>
          <t>Disclosure</t>
        </is>
      </c>
      <c r="E17" s="4" t="inlineStr">
        <is>
          <t>unauthorized</t>
        </is>
      </c>
      <c r="F17" s="18" t="inlineStr">
        <is>
          <t>Business associate</t>
        </is>
      </c>
      <c r="G17" s="18" t="inlineStr">
        <is>
          <t>Sufficient risk mitigation</t>
        </is>
      </c>
      <c r="H17" s="18" t="inlineStr">
        <is>
          <t>Recovered or restored from backup without high risk to data integrity or availability</t>
        </is>
      </c>
      <c r="I17" s="16" t="inlineStr">
        <is>
          <t>Gate 1a</t>
        </is>
      </c>
      <c r="J17" s="19" t="inlineStr">
        <is>
          <t>MODERATE</t>
        </is>
      </c>
      <c r="K17" s="19" t="inlineStr"/>
      <c r="L17" s="16">
        <f>IF(K17="","—",IF(J17=K17,"MATCH","MISMATCH"))</f>
        <v/>
      </c>
    </row>
    <row r="19" ht="15" customHeight="1">
      <c r="A19" s="26" t="inlineStr">
        <is>
          <t>Gate 1a — Confirmed safe (authorized)</t>
        </is>
      </c>
    </row>
    <row r="20" ht="15" customHeight="1">
      <c r="A20" s="20" t="n">
        <v>35</v>
      </c>
      <c r="B20" s="21" t="inlineStr">
        <is>
          <t>Gate 1a — Confirmed safe (authorized)</t>
        </is>
      </c>
      <c r="C20" s="22" t="inlineStr">
        <is>
          <t>Intentional, malicious</t>
        </is>
      </c>
      <c r="D20" s="22" t="inlineStr">
        <is>
          <t>Hacking or malware other than ransomware</t>
        </is>
      </c>
      <c r="E20" s="6" t="inlineStr">
        <is>
          <t>authorized</t>
        </is>
      </c>
      <c r="F20" s="22" t="inlineStr">
        <is>
          <t>Covered entity</t>
        </is>
      </c>
      <c r="G20" s="22" t="inlineStr">
        <is>
          <t>Sufficient risk mitigation</t>
        </is>
      </c>
      <c r="H20" s="22" t="inlineStr">
        <is>
          <t>Recipient had the opportunity, but did not view, access, transfer, or use the data (unopened returned mail)</t>
        </is>
      </c>
      <c r="I20" s="20" t="inlineStr">
        <is>
          <t>Gate 1a</t>
        </is>
      </c>
      <c r="J20" s="8" t="inlineStr">
        <is>
          <t>LOW</t>
        </is>
      </c>
      <c r="K20" s="19" t="inlineStr"/>
      <c r="L20" s="20">
        <f>IF(K20="","—",IF(J20=K20,"MATCH","MISMATCH"))</f>
        <v/>
      </c>
    </row>
    <row r="21" ht="15" customHeight="1">
      <c r="A21" s="16" t="n">
        <v>36</v>
      </c>
      <c r="B21" s="17" t="inlineStr">
        <is>
          <t>Gate 1a — Confirmed safe (authorized)</t>
        </is>
      </c>
      <c r="C21" s="18" t="inlineStr">
        <is>
          <t>Intentional, malicious</t>
        </is>
      </c>
      <c r="D21" s="18" t="inlineStr">
        <is>
          <t>Hacking or malware other than ransomware</t>
        </is>
      </c>
      <c r="E21" s="4" t="inlineStr">
        <is>
          <t>authorized</t>
        </is>
      </c>
      <c r="F21" s="18" t="inlineStr">
        <is>
          <t>Business associate</t>
        </is>
      </c>
      <c r="G21" s="18" t="inlineStr">
        <is>
          <t>Sufficient risk mitigation</t>
        </is>
      </c>
      <c r="H21" s="18" t="inlineStr">
        <is>
          <t>Recipient had the opportunity, but did not view, access, transfer, or use the data (unopened returned mail)</t>
        </is>
      </c>
      <c r="I21" s="16" t="inlineStr">
        <is>
          <t>Gate 1a</t>
        </is>
      </c>
      <c r="J21" s="8" t="inlineStr">
        <is>
          <t>LOW</t>
        </is>
      </c>
      <c r="K21" s="19" t="inlineStr"/>
      <c r="L21" s="16">
        <f>IF(K21="","—",IF(J21=K21,"MATCH","MISMATCH"))</f>
        <v/>
      </c>
    </row>
    <row r="22" ht="15" customHeight="1">
      <c r="A22" s="20" t="n">
        <v>37</v>
      </c>
      <c r="B22" s="21" t="inlineStr">
        <is>
          <t>Gate 1a — Confirmed safe (authorized)</t>
        </is>
      </c>
      <c r="C22" s="22" t="inlineStr">
        <is>
          <t>Intentional, malicious</t>
        </is>
      </c>
      <c r="D22" s="22" t="inlineStr">
        <is>
          <t>Hacking or malware other than ransomware</t>
        </is>
      </c>
      <c r="E22" s="6" t="inlineStr">
        <is>
          <t>authorized</t>
        </is>
      </c>
      <c r="F22" s="22" t="inlineStr">
        <is>
          <t>Service provider</t>
        </is>
      </c>
      <c r="G22" s="22" t="inlineStr">
        <is>
          <t>Sufficient risk mitigation</t>
        </is>
      </c>
      <c r="H22" s="22" t="inlineStr">
        <is>
          <t>Recipient had the opportunity, but did not view, access, transfer, or use the data (unopened returned mail)</t>
        </is>
      </c>
      <c r="I22" s="20" t="inlineStr">
        <is>
          <t>Gate 1a</t>
        </is>
      </c>
      <c r="J22" s="8" t="inlineStr">
        <is>
          <t>LOW</t>
        </is>
      </c>
      <c r="K22" s="19" t="inlineStr"/>
      <c r="L22" s="20">
        <f>IF(K22="","—",IF(J22=K22,"MATCH","MISMATCH"))</f>
        <v/>
      </c>
    </row>
    <row r="24" ht="15" customHeight="1">
      <c r="A24" s="26" t="inlineStr">
        <is>
          <t>Gate 1a — Forensic + unauthorized → LOW</t>
        </is>
      </c>
    </row>
    <row r="25" ht="15" customHeight="1">
      <c r="A25" s="16" t="n">
        <v>38</v>
      </c>
      <c r="B25" s="17" t="inlineStr">
        <is>
          <t>Gate 1a — Forensic + unauthorized → LOW</t>
        </is>
      </c>
      <c r="C25" s="18" t="inlineStr">
        <is>
          <t>Intentional, malicious</t>
        </is>
      </c>
      <c r="D25" s="18" t="inlineStr">
        <is>
          <t>Hacking or malware other than ransomware</t>
        </is>
      </c>
      <c r="E25" s="4" t="inlineStr">
        <is>
          <t>unauthorized</t>
        </is>
      </c>
      <c r="F25" s="18" t="inlineStr">
        <is>
          <t>Covered entity</t>
        </is>
      </c>
      <c r="G25" s="18" t="inlineStr">
        <is>
          <t>Sufficient risk mitigation</t>
        </is>
      </c>
      <c r="H25" s="18" t="inlineStr">
        <is>
          <t>Forensic analysis concluded that regulated data was not compromised</t>
        </is>
      </c>
      <c r="I25" s="16" t="inlineStr">
        <is>
          <t>Gate 1a</t>
        </is>
      </c>
      <c r="J25" s="8" t="inlineStr">
        <is>
          <t>LOW</t>
        </is>
      </c>
      <c r="K25" s="19" t="inlineStr"/>
      <c r="L25" s="16">
        <f>IF(K25="","—",IF(J25=K25,"MATCH","MISMATCH"))</f>
        <v/>
      </c>
    </row>
    <row r="26" ht="15" customHeight="1">
      <c r="A26" s="20" t="n">
        <v>39</v>
      </c>
      <c r="B26" s="21" t="inlineStr">
        <is>
          <t>Gate 1a — Forensic + unauthorized → LOW</t>
        </is>
      </c>
      <c r="C26" s="22" t="inlineStr">
        <is>
          <t>Intentional, malicious</t>
        </is>
      </c>
      <c r="D26" s="22" t="inlineStr">
        <is>
          <t>Hacking or malware other than ransomware</t>
        </is>
      </c>
      <c r="E26" s="6" t="inlineStr">
        <is>
          <t>unauthorized</t>
        </is>
      </c>
      <c r="F26" s="22" t="inlineStr">
        <is>
          <t>Business associate or state government agency</t>
        </is>
      </c>
      <c r="G26" s="22" t="inlineStr">
        <is>
          <t>Sufficient risk mitigation</t>
        </is>
      </c>
      <c r="H26" s="22" t="inlineStr">
        <is>
          <t>Forensic analysis concluded that regulated data was not compromised</t>
        </is>
      </c>
      <c r="I26" s="20" t="inlineStr">
        <is>
          <t>Gate 1a</t>
        </is>
      </c>
      <c r="J26" s="8" t="inlineStr">
        <is>
          <t>LOW</t>
        </is>
      </c>
      <c r="K26" s="19" t="inlineStr"/>
      <c r="L26" s="20">
        <f>IF(K26="","—",IF(J26=K26,"MATCH","MISMATCH"))</f>
        <v/>
      </c>
    </row>
    <row r="27" ht="15" customHeight="1">
      <c r="A27" s="16" t="n">
        <v>40</v>
      </c>
      <c r="B27" s="17" t="inlineStr">
        <is>
          <t>Gate 1a — Forensic + unauthorized → LOW</t>
        </is>
      </c>
      <c r="C27" s="18" t="inlineStr">
        <is>
          <t>Intentional, malicious</t>
        </is>
      </c>
      <c r="D27" s="18" t="inlineStr">
        <is>
          <t>Hacking or malware other than ransomware</t>
        </is>
      </c>
      <c r="E27" s="4" t="inlineStr">
        <is>
          <t>unauthorized</t>
        </is>
      </c>
      <c r="F27" s="18" t="inlineStr">
        <is>
          <t>Business associate</t>
        </is>
      </c>
      <c r="G27" s="18" t="inlineStr">
        <is>
          <t>Sufficient risk mitigation</t>
        </is>
      </c>
      <c r="H27" s="18" t="inlineStr">
        <is>
          <t>Forensic analysis concluded that regulated data was not compromised</t>
        </is>
      </c>
      <c r="I27" s="16" t="inlineStr">
        <is>
          <t>Gate 1a</t>
        </is>
      </c>
      <c r="J27" s="8" t="inlineStr">
        <is>
          <t>LOW</t>
        </is>
      </c>
      <c r="K27" s="19" t="inlineStr"/>
      <c r="L27" s="16">
        <f>IF(K27="","—",IF(J27=K27,"MATCH","MISMATCH"))</f>
        <v/>
      </c>
    </row>
    <row r="29" ht="15" customHeight="1">
      <c r="A29" s="26" t="inlineStr">
        <is>
          <t>Gate 1a — No-retain + unauthorized + malicious → MOD</t>
        </is>
      </c>
    </row>
    <row r="30" ht="15" customHeight="1">
      <c r="A30" s="20" t="n">
        <v>41</v>
      </c>
      <c r="B30" s="21" t="inlineStr">
        <is>
          <t>Gate 1a — No-retain + unauthorized + malicious → MOD</t>
        </is>
      </c>
      <c r="C30" s="22" t="inlineStr">
        <is>
          <t>Intentional, malicious</t>
        </is>
      </c>
      <c r="D30" s="22" t="inlineStr">
        <is>
          <t>Hacking or malware other than ransomware</t>
        </is>
      </c>
      <c r="E30" s="6" t="inlineStr">
        <is>
          <t>unauthorized</t>
        </is>
      </c>
      <c r="F30" s="22" t="inlineStr">
        <is>
          <t>Covered entity</t>
        </is>
      </c>
      <c r="G30" s="22" t="inlineStr">
        <is>
          <t>Sufficient risk mitigation</t>
        </is>
      </c>
      <c r="H30" s="22" t="inlineStr">
        <is>
          <t>Recipient could not reasonably retain the data</t>
        </is>
      </c>
      <c r="I30" s="20" t="inlineStr">
        <is>
          <t>Gate 1a</t>
        </is>
      </c>
      <c r="J30" s="19" t="inlineStr">
        <is>
          <t>MODERATE</t>
        </is>
      </c>
      <c r="K30" s="19" t="inlineStr"/>
      <c r="L30" s="20">
        <f>IF(K30="","—",IF(J30=K30,"MATCH","MISMATCH"))</f>
        <v/>
      </c>
    </row>
    <row r="31" ht="15" customHeight="1">
      <c r="A31" s="16" t="n">
        <v>42</v>
      </c>
      <c r="B31" s="17" t="inlineStr">
        <is>
          <t>Gate 1a — No-retain + unauthorized + malicious → MOD</t>
        </is>
      </c>
      <c r="C31" s="18" t="inlineStr">
        <is>
          <t>Intentional, malicious</t>
        </is>
      </c>
      <c r="D31" s="18" t="inlineStr">
        <is>
          <t>Hacking or malware other than ransomware</t>
        </is>
      </c>
      <c r="E31" s="4" t="inlineStr">
        <is>
          <t>unauthorized</t>
        </is>
      </c>
      <c r="F31" s="18" t="inlineStr">
        <is>
          <t>Business associate or state government agency</t>
        </is>
      </c>
      <c r="G31" s="18" t="inlineStr">
        <is>
          <t>Sufficient risk mitigation</t>
        </is>
      </c>
      <c r="H31" s="18" t="inlineStr">
        <is>
          <t>Recipient could not reasonably retain the data</t>
        </is>
      </c>
      <c r="I31" s="16" t="inlineStr">
        <is>
          <t>Gate 1a</t>
        </is>
      </c>
      <c r="J31" s="19" t="inlineStr">
        <is>
          <t>MODERATE</t>
        </is>
      </c>
      <c r="K31" s="19" t="inlineStr"/>
      <c r="L31" s="16">
        <f>IF(K31="","—",IF(J31=K31,"MATCH","MISMATCH"))</f>
        <v/>
      </c>
    </row>
    <row r="32" ht="15" customHeight="1">
      <c r="A32" s="20" t="n">
        <v>43</v>
      </c>
      <c r="B32" s="21" t="inlineStr">
        <is>
          <t>Gate 1a — No-retain + unauthorized + malicious → MOD</t>
        </is>
      </c>
      <c r="C32" s="22" t="inlineStr">
        <is>
          <t>Intentional, malicious</t>
        </is>
      </c>
      <c r="D32" s="22" t="inlineStr">
        <is>
          <t>Hacking or malware other than ransomware</t>
        </is>
      </c>
      <c r="E32" s="6" t="inlineStr">
        <is>
          <t>unauthorized</t>
        </is>
      </c>
      <c r="F32" s="22" t="inlineStr">
        <is>
          <t>Business associate</t>
        </is>
      </c>
      <c r="G32" s="22" t="inlineStr">
        <is>
          <t>Sufficient risk mitigation</t>
        </is>
      </c>
      <c r="H32" s="22" t="inlineStr">
        <is>
          <t>Recipient could not reasonably retain the data</t>
        </is>
      </c>
      <c r="I32" s="20" t="inlineStr">
        <is>
          <t>Gate 1a</t>
        </is>
      </c>
      <c r="J32" s="19" t="inlineStr">
        <is>
          <t>MODERATE</t>
        </is>
      </c>
      <c r="K32" s="19" t="inlineStr"/>
      <c r="L32" s="20">
        <f>IF(K32="","—",IF(J32=K32,"MATCH","MISMATCH"))</f>
        <v/>
      </c>
    </row>
    <row r="34" ht="15" customHeight="1">
      <c r="A34" s="26" t="inlineStr">
        <is>
          <t>Gate 1a — No-retain + unauthorized + not-malicious → LOW</t>
        </is>
      </c>
    </row>
    <row r="35" ht="15" customHeight="1">
      <c r="A35" s="16" t="n">
        <v>44</v>
      </c>
      <c r="B35" s="17" t="inlineStr">
        <is>
          <t>Gate 1a — No-retain + unauthorized + not-malicious → LOW</t>
        </is>
      </c>
      <c r="C35" s="18" t="inlineStr">
        <is>
          <t>Intentional, not malicious</t>
        </is>
      </c>
      <c r="D35" s="18" t="inlineStr">
        <is>
          <t>Unauthorized use</t>
        </is>
      </c>
      <c r="E35" s="4" t="inlineStr">
        <is>
          <t>unauthorized</t>
        </is>
      </c>
      <c r="F35" s="18" t="inlineStr">
        <is>
          <t>Covered entity</t>
        </is>
      </c>
      <c r="G35" s="18" t="inlineStr">
        <is>
          <t>Sufficient risk mitigation</t>
        </is>
      </c>
      <c r="H35" s="18" t="inlineStr">
        <is>
          <t>Recipient could not reasonably retain the data</t>
        </is>
      </c>
      <c r="I35" s="16" t="inlineStr">
        <is>
          <t>Gate 1a</t>
        </is>
      </c>
      <c r="J35" s="8" t="inlineStr">
        <is>
          <t>LOW</t>
        </is>
      </c>
      <c r="K35" s="19" t="inlineStr"/>
      <c r="L35" s="16">
        <f>IF(K35="","—",IF(J35=K35,"MATCH","MISMATCH"))</f>
        <v/>
      </c>
    </row>
    <row r="36" ht="15" customHeight="1">
      <c r="A36" s="20" t="n">
        <v>45</v>
      </c>
      <c r="B36" s="21" t="inlineStr">
        <is>
          <t>Gate 1a — No-retain + unauthorized + not-malicious → LOW</t>
        </is>
      </c>
      <c r="C36" s="22" t="inlineStr">
        <is>
          <t>Intentional, not malicious</t>
        </is>
      </c>
      <c r="D36" s="22" t="inlineStr">
        <is>
          <t>Unauthorized use</t>
        </is>
      </c>
      <c r="E36" s="6" t="inlineStr">
        <is>
          <t>unauthorized</t>
        </is>
      </c>
      <c r="F36" s="22" t="inlineStr">
        <is>
          <t>Business associate or state government agency</t>
        </is>
      </c>
      <c r="G36" s="22" t="inlineStr">
        <is>
          <t>Sufficient risk mitigation</t>
        </is>
      </c>
      <c r="H36" s="22" t="inlineStr">
        <is>
          <t>Recipient could not reasonably retain the data</t>
        </is>
      </c>
      <c r="I36" s="20" t="inlineStr">
        <is>
          <t>Gate 1a</t>
        </is>
      </c>
      <c r="J36" s="8" t="inlineStr">
        <is>
          <t>LOW</t>
        </is>
      </c>
      <c r="K36" s="19" t="inlineStr"/>
      <c r="L36" s="20">
        <f>IF(K36="","—",IF(J36=K36,"MATCH","MISMATCH"))</f>
        <v/>
      </c>
    </row>
    <row r="37" ht="15" customHeight="1">
      <c r="A37" s="16" t="n">
        <v>46</v>
      </c>
      <c r="B37" s="17" t="inlineStr">
        <is>
          <t>Gate 1a — No-retain + unauthorized + not-malicious → LOW</t>
        </is>
      </c>
      <c r="C37" s="18" t="inlineStr">
        <is>
          <t>Intentional, not malicious</t>
        </is>
      </c>
      <c r="D37" s="18" t="inlineStr">
        <is>
          <t>Unauthorized use</t>
        </is>
      </c>
      <c r="E37" s="4" t="inlineStr">
        <is>
          <t>unauthorized</t>
        </is>
      </c>
      <c r="F37" s="18" t="inlineStr">
        <is>
          <t>Business associate</t>
        </is>
      </c>
      <c r="G37" s="18" t="inlineStr">
        <is>
          <t>Sufficient risk mitigation</t>
        </is>
      </c>
      <c r="H37" s="18" t="inlineStr">
        <is>
          <t>Recipient could not reasonably retain the data</t>
        </is>
      </c>
      <c r="I37" s="16" t="inlineStr">
        <is>
          <t>Gate 1a</t>
        </is>
      </c>
      <c r="J37" s="8" t="inlineStr">
        <is>
          <t>LOW</t>
        </is>
      </c>
      <c r="K37" s="19" t="inlineStr"/>
      <c r="L37" s="16">
        <f>IF(K37="","—",IF(J37=K37,"MATCH","MISMATCH"))</f>
        <v/>
      </c>
    </row>
    <row r="39" ht="15" customHeight="1">
      <c r="A39" s="26" t="inlineStr">
        <is>
          <t>Gate 1a — No-written-obtained + CE/fed + non-mal → LOW</t>
        </is>
      </c>
    </row>
    <row r="40" ht="15" customHeight="1">
      <c r="A40" s="20" t="n">
        <v>47</v>
      </c>
      <c r="B40" s="21" t="inlineStr">
        <is>
          <t>Gate 1a — No-written-obtained + CE/fed + non-mal → LOW</t>
        </is>
      </c>
      <c r="C40" s="22" t="inlineStr">
        <is>
          <t>Unintentional or inadvertent</t>
        </is>
      </c>
      <c r="D40" s="22" t="inlineStr">
        <is>
          <t>Disclosure</t>
        </is>
      </c>
      <c r="E40" s="6" t="inlineStr">
        <is>
          <t>authorized</t>
        </is>
      </c>
      <c r="F40" s="22" t="inlineStr">
        <is>
          <t>Covered entity</t>
        </is>
      </c>
      <c r="G40" s="22" t="inlineStr">
        <is>
          <t>Sufficient risk mitigation</t>
        </is>
      </c>
      <c r="H40" s="22" t="inlineStr">
        <is>
          <t>No written assurance was obtained</t>
        </is>
      </c>
      <c r="I40" s="20" t="inlineStr">
        <is>
          <t>Gate 1a</t>
        </is>
      </c>
      <c r="J40" s="8" t="inlineStr">
        <is>
          <t>LOW</t>
        </is>
      </c>
      <c r="K40" s="19" t="inlineStr"/>
      <c r="L40" s="20">
        <f>IF(K40="","—",IF(J40=K40,"MATCH","MISMATCH"))</f>
        <v/>
      </c>
    </row>
    <row r="41" ht="15" customHeight="1">
      <c r="A41" s="16" t="n">
        <v>48</v>
      </c>
      <c r="B41" s="17" t="inlineStr">
        <is>
          <t>Gate 1a — No-written-obtained + CE/fed + non-mal → LOW</t>
        </is>
      </c>
      <c r="C41" s="18" t="inlineStr">
        <is>
          <t>Unintentional or inadvertent</t>
        </is>
      </c>
      <c r="D41" s="18" t="inlineStr">
        <is>
          <t>Disclosure</t>
        </is>
      </c>
      <c r="E41" s="4" t="inlineStr">
        <is>
          <t>authorized</t>
        </is>
      </c>
      <c r="F41" s="18" t="inlineStr">
        <is>
          <t>Federal agency obligated to Privacy Act of 1974 and FISMA</t>
        </is>
      </c>
      <c r="G41" s="18" t="inlineStr">
        <is>
          <t>Sufficient risk mitigation</t>
        </is>
      </c>
      <c r="H41" s="18" t="inlineStr">
        <is>
          <t>No written assurance was obtained</t>
        </is>
      </c>
      <c r="I41" s="16" t="inlineStr">
        <is>
          <t>Gate 1a</t>
        </is>
      </c>
      <c r="J41" s="8" t="inlineStr">
        <is>
          <t>LOW</t>
        </is>
      </c>
      <c r="K41" s="19" t="inlineStr"/>
      <c r="L41" s="16">
        <f>IF(K41="","—",IF(J41=K41,"MATCH","MISMATCH"))</f>
        <v/>
      </c>
    </row>
    <row r="43" ht="15" customHeight="1">
      <c r="A43" s="26" t="inlineStr">
        <is>
          <t>Gate 1a — Satisfactory + auth + obligated → LOW</t>
        </is>
      </c>
    </row>
    <row r="44" ht="15" customHeight="1">
      <c r="A44" s="20" t="n">
        <v>49</v>
      </c>
      <c r="B44" s="21" t="inlineStr">
        <is>
          <t>Gate 1a — Satisfactory + auth + obligated → LOW</t>
        </is>
      </c>
      <c r="C44" s="22" t="inlineStr">
        <is>
          <t>Intentional, malicious</t>
        </is>
      </c>
      <c r="D44" s="22" t="inlineStr">
        <is>
          <t>Hacking or malware other than ransomware</t>
        </is>
      </c>
      <c r="E44" s="6" t="inlineStr">
        <is>
          <t>authorized</t>
        </is>
      </c>
      <c r="F44" s="22" t="inlineStr">
        <is>
          <t>Covered entity</t>
        </is>
      </c>
      <c r="G44" s="22" t="inlineStr">
        <is>
          <t>Sufficient risk mitigation</t>
        </is>
      </c>
      <c r="H44" s="22" t="inlineStr">
        <is>
          <t>Satisfactory assurance was obtained from a recipient obligated to protect personal data</t>
        </is>
      </c>
      <c r="I44" s="20" t="inlineStr">
        <is>
          <t>Gate 1a</t>
        </is>
      </c>
      <c r="J44" s="8" t="inlineStr">
        <is>
          <t>LOW</t>
        </is>
      </c>
      <c r="K44" s="19" t="inlineStr"/>
      <c r="L44" s="20">
        <f>IF(K44="","—",IF(J44=K44,"MATCH","MISMATCH"))</f>
        <v/>
      </c>
    </row>
    <row r="45" ht="15" customHeight="1">
      <c r="A45" s="16" t="n">
        <v>50</v>
      </c>
      <c r="B45" s="17" t="inlineStr">
        <is>
          <t>Gate 1a — Satisfactory + auth + obligated → LOW</t>
        </is>
      </c>
      <c r="C45" s="18" t="inlineStr">
        <is>
          <t>Intentional, malicious</t>
        </is>
      </c>
      <c r="D45" s="18" t="inlineStr">
        <is>
          <t>Hacking or malware other than ransomware</t>
        </is>
      </c>
      <c r="E45" s="4" t="inlineStr">
        <is>
          <t>authorized</t>
        </is>
      </c>
      <c r="F45" s="18" t="inlineStr">
        <is>
          <t>Business associate</t>
        </is>
      </c>
      <c r="G45" s="18" t="inlineStr">
        <is>
          <t>Sufficient risk mitigation</t>
        </is>
      </c>
      <c r="H45" s="18" t="inlineStr">
        <is>
          <t>Satisfactory assurance was obtained from a recipient obligated to protect personal data</t>
        </is>
      </c>
      <c r="I45" s="16" t="inlineStr">
        <is>
          <t>Gate 1a</t>
        </is>
      </c>
      <c r="J45" s="8" t="inlineStr">
        <is>
          <t>LOW</t>
        </is>
      </c>
      <c r="K45" s="19" t="inlineStr"/>
      <c r="L45" s="16">
        <f>IF(K45="","—",IF(J45=K45,"MATCH","MISMATCH"))</f>
        <v/>
      </c>
    </row>
    <row r="46" ht="15" customHeight="1">
      <c r="A46" s="20" t="n">
        <v>51</v>
      </c>
      <c r="B46" s="21" t="inlineStr">
        <is>
          <t>Gate 1a — Satisfactory + auth + obligated → LOW</t>
        </is>
      </c>
      <c r="C46" s="22" t="inlineStr">
        <is>
          <t>Intentional, malicious</t>
        </is>
      </c>
      <c r="D46" s="22" t="inlineStr">
        <is>
          <t>Hacking or malware other than ransomware</t>
        </is>
      </c>
      <c r="E46" s="6" t="inlineStr">
        <is>
          <t>authorized</t>
        </is>
      </c>
      <c r="F46" s="22" t="inlineStr">
        <is>
          <t>Registered investment advisor</t>
        </is>
      </c>
      <c r="G46" s="22" t="inlineStr">
        <is>
          <t>Sufficient risk mitigation</t>
        </is>
      </c>
      <c r="H46" s="22" t="inlineStr">
        <is>
          <t>Satisfactory assurance was obtained from a recipient obligated to protect personal data</t>
        </is>
      </c>
      <c r="I46" s="20" t="inlineStr">
        <is>
          <t>Gate 1a</t>
        </is>
      </c>
      <c r="J46" s="8" t="inlineStr">
        <is>
          <t>LOW</t>
        </is>
      </c>
      <c r="K46" s="19" t="inlineStr"/>
      <c r="L46" s="20">
        <f>IF(K46="","—",IF(J46=K46,"MATCH","MISMATCH"))</f>
        <v/>
      </c>
    </row>
    <row r="48" ht="15" customHeight="1">
      <c r="A48" s="26" t="inlineStr">
        <is>
          <t>Gate 1a — Unopened + hacker/media + malicious → MOD</t>
        </is>
      </c>
    </row>
    <row r="49" ht="15" customHeight="1">
      <c r="A49" s="16" t="n">
        <v>52</v>
      </c>
      <c r="B49" s="17" t="inlineStr">
        <is>
          <t>Gate 1a — Unopened + hacker/media + malicious → MOD</t>
        </is>
      </c>
      <c r="C49" s="18" t="inlineStr">
        <is>
          <t>Intentional, malicious</t>
        </is>
      </c>
      <c r="D49" s="18" t="inlineStr">
        <is>
          <t>Hacking or malware other than ransomware</t>
        </is>
      </c>
      <c r="E49" s="4" t="inlineStr">
        <is>
          <t>unauthorized</t>
        </is>
      </c>
      <c r="F49" s="18" t="inlineStr">
        <is>
          <t>Media</t>
        </is>
      </c>
      <c r="G49" s="18" t="inlineStr">
        <is>
          <t>Sufficient risk mitigation</t>
        </is>
      </c>
      <c r="H49" s="18" t="inlineStr">
        <is>
          <t>Recipient had the opportunity, but did not view, access, transfer, or use the data (unopened returned mail)</t>
        </is>
      </c>
      <c r="I49" s="16" t="inlineStr">
        <is>
          <t>Gate 1a</t>
        </is>
      </c>
      <c r="J49" s="19" t="inlineStr">
        <is>
          <t>MODERATE</t>
        </is>
      </c>
      <c r="K49" s="19" t="inlineStr"/>
      <c r="L49" s="16">
        <f>IF(K49="","—",IF(J49=K49,"MATCH","MISMATCH"))</f>
        <v/>
      </c>
    </row>
    <row r="51" ht="15" customHeight="1">
      <c r="A51" s="26" t="inlineStr">
        <is>
          <t>Gate 1a — Unopened + other unauthorized → LOW</t>
        </is>
      </c>
    </row>
    <row r="52" ht="15" customHeight="1">
      <c r="A52" s="20" t="n">
        <v>53</v>
      </c>
      <c r="B52" s="21" t="inlineStr">
        <is>
          <t>Gate 1a — Unopened + other unauthorized → LOW</t>
        </is>
      </c>
      <c r="C52" s="22" t="inlineStr">
        <is>
          <t>Intentional, malicious</t>
        </is>
      </c>
      <c r="D52" s="22" t="inlineStr">
        <is>
          <t>Hacking or malware other than ransomware</t>
        </is>
      </c>
      <c r="E52" s="6" t="inlineStr">
        <is>
          <t>unauthorized</t>
        </is>
      </c>
      <c r="F52" s="22" t="inlineStr">
        <is>
          <t>Covered entity</t>
        </is>
      </c>
      <c r="G52" s="22" t="inlineStr">
        <is>
          <t>Sufficient risk mitigation</t>
        </is>
      </c>
      <c r="H52" s="22" t="inlineStr">
        <is>
          <t>Recipient had the opportunity, but did not view, access, transfer, or use the data (unopened returned mail)</t>
        </is>
      </c>
      <c r="I52" s="20" t="inlineStr">
        <is>
          <t>Gate 1a</t>
        </is>
      </c>
      <c r="J52" s="8" t="inlineStr">
        <is>
          <t>LOW</t>
        </is>
      </c>
      <c r="K52" s="19" t="inlineStr"/>
      <c r="L52" s="20">
        <f>IF(K52="","—",IF(J52=K52,"MATCH","MISMATCH"))</f>
        <v/>
      </c>
    </row>
    <row r="53" ht="15" customHeight="1">
      <c r="A53" s="16" t="n">
        <v>54</v>
      </c>
      <c r="B53" s="17" t="inlineStr">
        <is>
          <t>Gate 1a — Unopened + other unauthorized → LOW</t>
        </is>
      </c>
      <c r="C53" s="18" t="inlineStr">
        <is>
          <t>Intentional, malicious</t>
        </is>
      </c>
      <c r="D53" s="18" t="inlineStr">
        <is>
          <t>Hacking or malware other than ransomware</t>
        </is>
      </c>
      <c r="E53" s="4" t="inlineStr">
        <is>
          <t>unauthorized</t>
        </is>
      </c>
      <c r="F53" s="18" t="inlineStr">
        <is>
          <t>Business associate or state government agency</t>
        </is>
      </c>
      <c r="G53" s="18" t="inlineStr">
        <is>
          <t>Sufficient risk mitigation</t>
        </is>
      </c>
      <c r="H53" s="18" t="inlineStr">
        <is>
          <t>Recipient had the opportunity, but did not view, access, transfer, or use the data (unopened returned mail)</t>
        </is>
      </c>
      <c r="I53" s="16" t="inlineStr">
        <is>
          <t>Gate 1a</t>
        </is>
      </c>
      <c r="J53" s="8" t="inlineStr">
        <is>
          <t>LOW</t>
        </is>
      </c>
      <c r="K53" s="19" t="inlineStr"/>
      <c r="L53" s="16">
        <f>IF(K53="","—",IF(J53=K53,"MATCH","MISMATCH"))</f>
        <v/>
      </c>
    </row>
    <row r="54" ht="15" customHeight="1">
      <c r="A54" s="20" t="n">
        <v>55</v>
      </c>
      <c r="B54" s="21" t="inlineStr">
        <is>
          <t>Gate 1a — Unopened + other unauthorized → LOW</t>
        </is>
      </c>
      <c r="C54" s="22" t="inlineStr">
        <is>
          <t>Intentional, malicious</t>
        </is>
      </c>
      <c r="D54" s="22" t="inlineStr">
        <is>
          <t>Hacking or malware other than ransomware</t>
        </is>
      </c>
      <c r="E54" s="6" t="inlineStr">
        <is>
          <t>unauthorized</t>
        </is>
      </c>
      <c r="F54" s="22" t="inlineStr">
        <is>
          <t>Business associate</t>
        </is>
      </c>
      <c r="G54" s="22" t="inlineStr">
        <is>
          <t>Sufficient risk mitigation</t>
        </is>
      </c>
      <c r="H54" s="22" t="inlineStr">
        <is>
          <t>Recipient had the opportunity, but did not view, access, transfer, or use the data (unopened returned mail)</t>
        </is>
      </c>
      <c r="I54" s="20" t="inlineStr">
        <is>
          <t>Gate 1a</t>
        </is>
      </c>
      <c r="J54" s="8" t="inlineStr">
        <is>
          <t>LOW</t>
        </is>
      </c>
      <c r="K54" s="19" t="inlineStr"/>
      <c r="L54" s="20">
        <f>IF(K54="","—",IF(J54=K54,"MATCH","MISMATCH"))</f>
        <v/>
      </c>
    </row>
    <row r="56" ht="15" customHeight="1">
      <c r="A56" s="26" t="inlineStr">
        <is>
          <t>Gate 1b — Attorney + malicious → EXTREME</t>
        </is>
      </c>
    </row>
    <row r="57" ht="15" customHeight="1">
      <c r="A57" s="16" t="n">
        <v>56</v>
      </c>
      <c r="B57" s="17" t="inlineStr">
        <is>
          <t>Gate 1b — Attorney + malicious → EXTREME</t>
        </is>
      </c>
      <c r="C57" s="18" t="inlineStr">
        <is>
          <t>Intentional, malicious</t>
        </is>
      </c>
      <c r="D57" s="18" t="inlineStr">
        <is>
          <t>Hacking or malware other than ransomware</t>
        </is>
      </c>
      <c r="E57" s="4" t="inlineStr">
        <is>
          <t>unauthorized</t>
        </is>
      </c>
      <c r="F57" s="18" t="inlineStr">
        <is>
          <t>Attorney or law firm</t>
        </is>
      </c>
      <c r="G57" s="18" t="inlineStr">
        <is>
          <t>Sufficient risk mitigation</t>
        </is>
      </c>
      <c r="H57" s="18" t="inlineStr">
        <is>
          <t>Recipient confirmed receipt and use of data as permitted</t>
        </is>
      </c>
      <c r="I57" s="16" t="inlineStr">
        <is>
          <t>Gate 1b</t>
        </is>
      </c>
      <c r="J57" s="27" t="inlineStr">
        <is>
          <t>EXTREME</t>
        </is>
      </c>
      <c r="K57" s="19" t="inlineStr"/>
      <c r="L57" s="16">
        <f>IF(K57="","—",IF(J57=K57,"MATCH","MISMATCH"))</f>
        <v/>
      </c>
    </row>
    <row r="59" ht="15" customHeight="1">
      <c r="A59" s="26" t="inlineStr">
        <is>
          <t>Gate 1b — Attorney + not-malicious → HIGH</t>
        </is>
      </c>
    </row>
    <row r="60" ht="15" customHeight="1">
      <c r="A60" s="20" t="n">
        <v>57</v>
      </c>
      <c r="B60" s="21" t="inlineStr">
        <is>
          <t>Gate 1b — Attorney + not-malicious → HIGH</t>
        </is>
      </c>
      <c r="C60" s="22" t="inlineStr">
        <is>
          <t>Intentional, not malicious</t>
        </is>
      </c>
      <c r="D60" s="22" t="inlineStr">
        <is>
          <t>Unauthorized use</t>
        </is>
      </c>
      <c r="E60" s="6" t="inlineStr">
        <is>
          <t>unauthorized</t>
        </is>
      </c>
      <c r="F60" s="22" t="inlineStr">
        <is>
          <t>Attorney or law firm</t>
        </is>
      </c>
      <c r="G60" s="22" t="inlineStr">
        <is>
          <t>Sufficient risk mitigation</t>
        </is>
      </c>
      <c r="H60" s="22" t="inlineStr">
        <is>
          <t>Recipient confirmed receipt and use of data as permitted</t>
        </is>
      </c>
      <c r="I60" s="20" t="inlineStr">
        <is>
          <t>Gate 1b</t>
        </is>
      </c>
      <c r="J60" s="23" t="inlineStr">
        <is>
          <t>HIGH</t>
        </is>
      </c>
      <c r="K60" s="19" t="inlineStr"/>
      <c r="L60" s="20">
        <f>IF(K60="","—",IF(J60=K60,"MATCH","MISMATCH"))</f>
        <v/>
      </c>
    </row>
    <row r="61" ht="15" customHeight="1">
      <c r="A61" s="16" t="n">
        <v>58</v>
      </c>
      <c r="B61" s="17" t="inlineStr">
        <is>
          <t>Gate 1b — Attorney + not-malicious → HIGH</t>
        </is>
      </c>
      <c r="C61" s="18" t="inlineStr">
        <is>
          <t>Unintentional or inadvertent</t>
        </is>
      </c>
      <c r="D61" s="18" t="inlineStr">
        <is>
          <t>Disclosure</t>
        </is>
      </c>
      <c r="E61" s="4" t="inlineStr">
        <is>
          <t>unauthorized</t>
        </is>
      </c>
      <c r="F61" s="18" t="inlineStr">
        <is>
          <t>Attorney or law firm</t>
        </is>
      </c>
      <c r="G61" s="18" t="inlineStr">
        <is>
          <t>Sufficient risk mitigation</t>
        </is>
      </c>
      <c r="H61" s="18" t="inlineStr">
        <is>
          <t>Recipient confirmed receipt and use of data as permitted</t>
        </is>
      </c>
      <c r="I61" s="16" t="inlineStr">
        <is>
          <t>Gate 1b</t>
        </is>
      </c>
      <c r="J61" s="23" t="inlineStr">
        <is>
          <t>HIGH</t>
        </is>
      </c>
      <c r="K61" s="19" t="inlineStr"/>
      <c r="L61" s="16">
        <f>IF(K61="","—",IF(J61=K61,"MATCH","MISMATCH"))</f>
        <v/>
      </c>
    </row>
    <row r="63" ht="15" customHeight="1">
      <c r="A63" s="26" t="inlineStr">
        <is>
          <t>Gate 1b — Auth + partial prot → MOD</t>
        </is>
      </c>
    </row>
    <row r="64" ht="15" customHeight="1">
      <c r="A64" s="20" t="n">
        <v>59</v>
      </c>
      <c r="B64" s="21" t="inlineStr">
        <is>
          <t>Gate 1b — Auth + partial prot → MOD</t>
        </is>
      </c>
      <c r="C64" s="22" t="inlineStr">
        <is>
          <t>Intentional, malicious</t>
        </is>
      </c>
      <c r="D64" s="22" t="inlineStr">
        <is>
          <t>Hacking or malware other than ransomware</t>
        </is>
      </c>
      <c r="E64" s="6" t="inlineStr">
        <is>
          <t>authorized</t>
        </is>
      </c>
      <c r="F64" s="22" t="inlineStr">
        <is>
          <t>Covered entity</t>
        </is>
      </c>
      <c r="G64" s="22" t="inlineStr">
        <is>
          <t>Sufficient risk mitigation</t>
        </is>
      </c>
      <c r="H64" s="22" t="inlineStr">
        <is>
          <t>Recipient confirmed receipt and use of data as permitted</t>
        </is>
      </c>
      <c r="I64" s="20" t="inlineStr">
        <is>
          <t>Gate 1b</t>
        </is>
      </c>
      <c r="J64" s="19" t="inlineStr">
        <is>
          <t>MODERATE</t>
        </is>
      </c>
      <c r="K64" s="19" t="inlineStr"/>
      <c r="L64" s="20">
        <f>IF(K64="","—",IF(J64=K64,"MATCH","MISMATCH"))</f>
        <v/>
      </c>
    </row>
    <row r="65" ht="15" customHeight="1">
      <c r="A65" s="16" t="n">
        <v>60</v>
      </c>
      <c r="B65" s="17" t="inlineStr">
        <is>
          <t>Gate 1b — Auth + partial prot → MOD</t>
        </is>
      </c>
      <c r="C65" s="18" t="inlineStr">
        <is>
          <t>Intentional, malicious</t>
        </is>
      </c>
      <c r="D65" s="18" t="inlineStr">
        <is>
          <t>Hacking or malware other than ransomware</t>
        </is>
      </c>
      <c r="E65" s="4" t="inlineStr">
        <is>
          <t>authorized</t>
        </is>
      </c>
      <c r="F65" s="18" t="inlineStr">
        <is>
          <t>Business associate</t>
        </is>
      </c>
      <c r="G65" s="18" t="inlineStr">
        <is>
          <t>Sufficient risk mitigation</t>
        </is>
      </c>
      <c r="H65" s="18" t="inlineStr">
        <is>
          <t>Recipient confirmed receipt and use of data as permitted</t>
        </is>
      </c>
      <c r="I65" s="16" t="inlineStr">
        <is>
          <t>Gate 1b</t>
        </is>
      </c>
      <c r="J65" s="19" t="inlineStr">
        <is>
          <t>MODERATE</t>
        </is>
      </c>
      <c r="K65" s="19" t="inlineStr"/>
      <c r="L65" s="16">
        <f>IF(K65="","—",IF(J65=K65,"MATCH","MISMATCH"))</f>
        <v/>
      </c>
    </row>
    <row r="66" ht="15" customHeight="1">
      <c r="A66" s="20" t="n">
        <v>61</v>
      </c>
      <c r="B66" s="21" t="inlineStr">
        <is>
          <t>Gate 1b — Auth + partial prot → MOD</t>
        </is>
      </c>
      <c r="C66" s="22" t="inlineStr">
        <is>
          <t>Intentional, malicious</t>
        </is>
      </c>
      <c r="D66" s="22" t="inlineStr">
        <is>
          <t>Hacking or malware other than ransomware</t>
        </is>
      </c>
      <c r="E66" s="6" t="inlineStr">
        <is>
          <t>authorized</t>
        </is>
      </c>
      <c r="F66" s="22" t="inlineStr">
        <is>
          <t>Service provider</t>
        </is>
      </c>
      <c r="G66" s="22" t="inlineStr">
        <is>
          <t>Sufficient risk mitigation</t>
        </is>
      </c>
      <c r="H66" s="22" t="inlineStr">
        <is>
          <t>Recipient confirmed receipt and use of data as permitted</t>
        </is>
      </c>
      <c r="I66" s="20" t="inlineStr">
        <is>
          <t>Gate 1b</t>
        </is>
      </c>
      <c r="J66" s="19" t="inlineStr">
        <is>
          <t>MODERATE</t>
        </is>
      </c>
      <c r="K66" s="19" t="inlineStr"/>
      <c r="L66" s="20">
        <f>IF(K66="","—",IF(J66=K66,"MATCH","MISMATCH"))</f>
        <v/>
      </c>
    </row>
    <row r="68" ht="15" customHeight="1">
      <c r="A68" s="26" t="inlineStr">
        <is>
          <t>Gate 1b — Employee + malicious → MOD</t>
        </is>
      </c>
    </row>
    <row r="69" ht="15" customHeight="1">
      <c r="A69" s="16" t="n">
        <v>62</v>
      </c>
      <c r="B69" s="17" t="inlineStr">
        <is>
          <t>Gate 1b — Employee + malicious → MOD</t>
        </is>
      </c>
      <c r="C69" s="18" t="inlineStr">
        <is>
          <t>Intentional, malicious</t>
        </is>
      </c>
      <c r="D69" s="18" t="inlineStr">
        <is>
          <t>Hacking or malware other than ransomware</t>
        </is>
      </c>
      <c r="E69" s="4" t="inlineStr">
        <is>
          <t>authorized</t>
        </is>
      </c>
      <c r="F69" s="18" t="inlineStr">
        <is>
          <t>Employee, workforce member, or agent of the entity</t>
        </is>
      </c>
      <c r="G69" s="18" t="inlineStr">
        <is>
          <t>Sufficient risk mitigation</t>
        </is>
      </c>
      <c r="H69" s="18" t="inlineStr">
        <is>
          <t>Recipient confirmed receipt and use of data as permitted</t>
        </is>
      </c>
      <c r="I69" s="16" t="inlineStr">
        <is>
          <t>Gate 1b</t>
        </is>
      </c>
      <c r="J69" s="19" t="inlineStr">
        <is>
          <t>MODERATE</t>
        </is>
      </c>
      <c r="K69" s="19" t="inlineStr"/>
      <c r="L69" s="16">
        <f>IF(K69="","—",IF(J69=K69,"MATCH","MISMATCH"))</f>
        <v/>
      </c>
    </row>
    <row r="70" ht="15" customHeight="1">
      <c r="A70" s="20" t="n">
        <v>63</v>
      </c>
      <c r="B70" s="21" t="inlineStr">
        <is>
          <t>Gate 1b — Employee + malicious → MOD</t>
        </is>
      </c>
      <c r="C70" s="22" t="inlineStr">
        <is>
          <t>Intentional, malicious</t>
        </is>
      </c>
      <c r="D70" s="22" t="inlineStr">
        <is>
          <t>Hacking or malware other than ransomware</t>
        </is>
      </c>
      <c r="E70" s="6" t="inlineStr">
        <is>
          <t>unauthorized</t>
        </is>
      </c>
      <c r="F70" s="22" t="inlineStr">
        <is>
          <t>Employee, workforce member, or agent of the entity</t>
        </is>
      </c>
      <c r="G70" s="22" t="inlineStr">
        <is>
          <t>Sufficient risk mitigation</t>
        </is>
      </c>
      <c r="H70" s="22" t="inlineStr">
        <is>
          <t>Recipient confirmed receipt and use of data as permitted</t>
        </is>
      </c>
      <c r="I70" s="20" t="inlineStr">
        <is>
          <t>Gate 1b</t>
        </is>
      </c>
      <c r="J70" s="19" t="inlineStr">
        <is>
          <t>MODERATE</t>
        </is>
      </c>
      <c r="K70" s="19" t="inlineStr"/>
      <c r="L70" s="20">
        <f>IF(K70="","—",IF(J70=K70,"MATCH","MISMATCH"))</f>
        <v/>
      </c>
    </row>
    <row r="72" ht="15" customHeight="1">
      <c r="A72" s="26" t="inlineStr">
        <is>
          <t>Gate 1b — Employee + unintentional → LOW</t>
        </is>
      </c>
    </row>
    <row r="73" ht="15" customHeight="1">
      <c r="A73" s="16" t="n">
        <v>64</v>
      </c>
      <c r="B73" s="17" t="inlineStr">
        <is>
          <t>Gate 1b — Employee + unintentional → LOW</t>
        </is>
      </c>
      <c r="C73" s="18" t="inlineStr">
        <is>
          <t>Intentional, not malicious</t>
        </is>
      </c>
      <c r="D73" s="18" t="inlineStr">
        <is>
          <t>Unauthorized use</t>
        </is>
      </c>
      <c r="E73" s="4" t="inlineStr">
        <is>
          <t>authorized</t>
        </is>
      </c>
      <c r="F73" s="18" t="inlineStr">
        <is>
          <t>Employee, workforce member, or agent of the entity</t>
        </is>
      </c>
      <c r="G73" s="18" t="inlineStr">
        <is>
          <t>Sufficient risk mitigation</t>
        </is>
      </c>
      <c r="H73" s="18" t="inlineStr">
        <is>
          <t>Recipient confirmed receipt and use of data as permitted</t>
        </is>
      </c>
      <c r="I73" s="16" t="inlineStr">
        <is>
          <t>Gate 1b</t>
        </is>
      </c>
      <c r="J73" s="8" t="inlineStr">
        <is>
          <t>LOW</t>
        </is>
      </c>
      <c r="K73" s="19" t="inlineStr"/>
      <c r="L73" s="16">
        <f>IF(K73="","—",IF(J73=K73,"MATCH","MISMATCH"))</f>
        <v/>
      </c>
    </row>
    <row r="74" ht="15" customHeight="1">
      <c r="A74" s="20" t="n">
        <v>65</v>
      </c>
      <c r="B74" s="21" t="inlineStr">
        <is>
          <t>Gate 1b — Employee + unintentional → LOW</t>
        </is>
      </c>
      <c r="C74" s="22" t="inlineStr">
        <is>
          <t>Intentional, not malicious</t>
        </is>
      </c>
      <c r="D74" s="22" t="inlineStr">
        <is>
          <t>Unauthorized use</t>
        </is>
      </c>
      <c r="E74" s="6" t="inlineStr">
        <is>
          <t>unauthorized</t>
        </is>
      </c>
      <c r="F74" s="22" t="inlineStr">
        <is>
          <t>Employee, workforce member, or agent of the entity</t>
        </is>
      </c>
      <c r="G74" s="22" t="inlineStr">
        <is>
          <t>Sufficient risk mitigation</t>
        </is>
      </c>
      <c r="H74" s="22" t="inlineStr">
        <is>
          <t>Recipient confirmed receipt and use of data as permitted</t>
        </is>
      </c>
      <c r="I74" s="20" t="inlineStr">
        <is>
          <t>Gate 1b</t>
        </is>
      </c>
      <c r="J74" s="8" t="inlineStr">
        <is>
          <t>LOW</t>
        </is>
      </c>
      <c r="K74" s="19" t="inlineStr"/>
      <c r="L74" s="20">
        <f>IF(K74="","—",IF(J74=K74,"MATCH","MISMATCH"))</f>
        <v/>
      </c>
    </row>
    <row r="75" ht="15" customHeight="1">
      <c r="A75" s="16" t="n">
        <v>66</v>
      </c>
      <c r="B75" s="17" t="inlineStr">
        <is>
          <t>Gate 1b — Employee + unintentional → LOW</t>
        </is>
      </c>
      <c r="C75" s="18" t="inlineStr">
        <is>
          <t>Unintentional or inadvertent</t>
        </is>
      </c>
      <c r="D75" s="18" t="inlineStr">
        <is>
          <t>Disclosure</t>
        </is>
      </c>
      <c r="E75" s="4" t="inlineStr">
        <is>
          <t>authorized</t>
        </is>
      </c>
      <c r="F75" s="18" t="inlineStr">
        <is>
          <t>Employee, workforce member, or agent of the entity</t>
        </is>
      </c>
      <c r="G75" s="18" t="inlineStr">
        <is>
          <t>Sufficient risk mitigation</t>
        </is>
      </c>
      <c r="H75" s="18" t="inlineStr">
        <is>
          <t>Recipient confirmed receipt and use of data as permitted</t>
        </is>
      </c>
      <c r="I75" s="16" t="inlineStr">
        <is>
          <t>Gate 1b</t>
        </is>
      </c>
      <c r="J75" s="8" t="inlineStr">
        <is>
          <t>LOW</t>
        </is>
      </c>
      <c r="K75" s="19" t="inlineStr"/>
      <c r="L75" s="16">
        <f>IF(K75="","—",IF(J75=K75,"MATCH","MISMATCH"))</f>
        <v/>
      </c>
    </row>
    <row r="77" ht="15" customHeight="1">
      <c r="A77" s="26" t="inlineStr">
        <is>
          <t>Gate 1b — Hacker/media + malicious + prot≤0.20 → EXTREME</t>
        </is>
      </c>
    </row>
    <row r="78" ht="15" customHeight="1">
      <c r="A78" s="20" t="n">
        <v>67</v>
      </c>
      <c r="B78" s="21" t="inlineStr">
        <is>
          <t>Gate 1b — Hacker/media + malicious + prot≤0.20 → EXTREME</t>
        </is>
      </c>
      <c r="C78" s="22" t="inlineStr">
        <is>
          <t>Intentional, malicious</t>
        </is>
      </c>
      <c r="D78" s="22" t="inlineStr">
        <is>
          <t>Hacking or malware other than ransomware</t>
        </is>
      </c>
      <c r="E78" s="6" t="inlineStr">
        <is>
          <t>unauthorized</t>
        </is>
      </c>
      <c r="F78" s="22" t="inlineStr">
        <is>
          <t>Hacker or thief</t>
        </is>
      </c>
      <c r="G78" s="22" t="inlineStr">
        <is>
          <t>Sufficient risk mitigation</t>
        </is>
      </c>
      <c r="H78" s="22" t="inlineStr">
        <is>
          <t>Recipient confirmed receipt and use of data as permitted</t>
        </is>
      </c>
      <c r="I78" s="20" t="inlineStr">
        <is>
          <t>Gate 1b</t>
        </is>
      </c>
      <c r="J78" s="27" t="inlineStr">
        <is>
          <t>EXTREME</t>
        </is>
      </c>
      <c r="K78" s="19" t="inlineStr"/>
      <c r="L78" s="20">
        <f>IF(K78="","—",IF(J78=K78,"MATCH","MISMATCH"))</f>
        <v/>
      </c>
    </row>
    <row r="79" ht="15" customHeight="1">
      <c r="A79" s="16" t="n">
        <v>68</v>
      </c>
      <c r="B79" s="17" t="inlineStr">
        <is>
          <t>Gate 1b — Hacker/media + malicious + prot≤0.20 → EXTREME</t>
        </is>
      </c>
      <c r="C79" s="18" t="inlineStr">
        <is>
          <t>Intentional, malicious</t>
        </is>
      </c>
      <c r="D79" s="18" t="inlineStr">
        <is>
          <t>Hacking or malware other than ransomware</t>
        </is>
      </c>
      <c r="E79" s="4" t="inlineStr">
        <is>
          <t>unauthorized</t>
        </is>
      </c>
      <c r="F79" s="18" t="inlineStr">
        <is>
          <t>Media</t>
        </is>
      </c>
      <c r="G79" s="18" t="inlineStr">
        <is>
          <t>Sufficient risk mitigation</t>
        </is>
      </c>
      <c r="H79" s="18" t="inlineStr">
        <is>
          <t>Recipient confirmed receipt and use of data as permitted</t>
        </is>
      </c>
      <c r="I79" s="16" t="inlineStr">
        <is>
          <t>Gate 1b</t>
        </is>
      </c>
      <c r="J79" s="27" t="inlineStr">
        <is>
          <t>EXTREME</t>
        </is>
      </c>
      <c r="K79" s="19" t="inlineStr"/>
      <c r="L79" s="16">
        <f>IF(K79="","—",IF(J79=K79,"MATCH","MISMATCH"))</f>
        <v/>
      </c>
    </row>
    <row r="81" ht="15" customHeight="1">
      <c r="A81" s="26" t="inlineStr">
        <is>
          <t>Gate 1b — Hacker/media + not-malicious + prot≤0.20 → HIGH</t>
        </is>
      </c>
    </row>
    <row r="82" ht="15" customHeight="1">
      <c r="A82" s="20" t="n">
        <v>69</v>
      </c>
      <c r="B82" s="21" t="inlineStr">
        <is>
          <t>Gate 1b — Hacker/media + not-malicious + prot≤0.20 → HIGH</t>
        </is>
      </c>
      <c r="C82" s="22" t="inlineStr">
        <is>
          <t>Intentional, not malicious</t>
        </is>
      </c>
      <c r="D82" s="22" t="inlineStr">
        <is>
          <t>Unauthorized use</t>
        </is>
      </c>
      <c r="E82" s="6" t="inlineStr">
        <is>
          <t>unauthorized</t>
        </is>
      </c>
      <c r="F82" s="22" t="inlineStr">
        <is>
          <t>Hacker or thief</t>
        </is>
      </c>
      <c r="G82" s="22" t="inlineStr">
        <is>
          <t>Sufficient risk mitigation</t>
        </is>
      </c>
      <c r="H82" s="22" t="inlineStr">
        <is>
          <t>Recipient confirmed receipt and use of data as permitted</t>
        </is>
      </c>
      <c r="I82" s="20" t="inlineStr">
        <is>
          <t>Gate 1b</t>
        </is>
      </c>
      <c r="J82" s="23" t="inlineStr">
        <is>
          <t>HIGH</t>
        </is>
      </c>
      <c r="K82" s="19" t="inlineStr"/>
      <c r="L82" s="20">
        <f>IF(K82="","—",IF(J82=K82,"MATCH","MISMATCH"))</f>
        <v/>
      </c>
    </row>
    <row r="83" ht="15" customHeight="1">
      <c r="A83" s="16" t="n">
        <v>70</v>
      </c>
      <c r="B83" s="17" t="inlineStr">
        <is>
          <t>Gate 1b — Hacker/media + not-malicious + prot≤0.20 → HIGH</t>
        </is>
      </c>
      <c r="C83" s="18" t="inlineStr">
        <is>
          <t>Intentional, not malicious</t>
        </is>
      </c>
      <c r="D83" s="18" t="inlineStr">
        <is>
          <t>Unauthorized use</t>
        </is>
      </c>
      <c r="E83" s="4" t="inlineStr">
        <is>
          <t>unauthorized</t>
        </is>
      </c>
      <c r="F83" s="18" t="inlineStr">
        <is>
          <t>Media</t>
        </is>
      </c>
      <c r="G83" s="18" t="inlineStr">
        <is>
          <t>Sufficient risk mitigation</t>
        </is>
      </c>
      <c r="H83" s="18" t="inlineStr">
        <is>
          <t>Recipient confirmed receipt and use of data as permitted</t>
        </is>
      </c>
      <c r="I83" s="16" t="inlineStr">
        <is>
          <t>Gate 1b</t>
        </is>
      </c>
      <c r="J83" s="23" t="inlineStr">
        <is>
          <t>HIGH</t>
        </is>
      </c>
      <c r="K83" s="19" t="inlineStr"/>
      <c r="L83" s="16">
        <f>IF(K83="","—",IF(J83=K83,"MATCH","MISMATCH"))</f>
        <v/>
      </c>
    </row>
    <row r="85" ht="15" customHeight="1">
      <c r="A85" s="26" t="inlineStr">
        <is>
          <t>Gate 1b — Hacker/media + unintentional → HIGH</t>
        </is>
      </c>
    </row>
    <row r="86" ht="15" customHeight="1">
      <c r="A86" s="20" t="n">
        <v>71</v>
      </c>
      <c r="B86" s="21" t="inlineStr">
        <is>
          <t>Gate 1b — Hacker/media + unintentional → HIGH</t>
        </is>
      </c>
      <c r="C86" s="22" t="inlineStr">
        <is>
          <t>Unintentional or inadvertent</t>
        </is>
      </c>
      <c r="D86" s="22" t="inlineStr">
        <is>
          <t>Disclosure</t>
        </is>
      </c>
      <c r="E86" s="6" t="inlineStr">
        <is>
          <t>unauthorized</t>
        </is>
      </c>
      <c r="F86" s="22" t="inlineStr">
        <is>
          <t>Hacker or thief</t>
        </is>
      </c>
      <c r="G86" s="22" t="inlineStr">
        <is>
          <t>Sufficient risk mitigation</t>
        </is>
      </c>
      <c r="H86" s="22" t="inlineStr">
        <is>
          <t>Recipient confirmed receipt and use of data as permitted</t>
        </is>
      </c>
      <c r="I86" s="20" t="inlineStr">
        <is>
          <t>Gate 1b</t>
        </is>
      </c>
      <c r="J86" s="23" t="inlineStr">
        <is>
          <t>HIGH</t>
        </is>
      </c>
      <c r="K86" s="19" t="inlineStr"/>
      <c r="L86" s="20">
        <f>IF(K86="","—",IF(J86=K86,"MATCH","MISMATCH"))</f>
        <v/>
      </c>
    </row>
    <row r="87" ht="15" customHeight="1">
      <c r="A87" s="16" t="n">
        <v>72</v>
      </c>
      <c r="B87" s="17" t="inlineStr">
        <is>
          <t>Gate 1b — Hacker/media + unintentional → HIGH</t>
        </is>
      </c>
      <c r="C87" s="18" t="inlineStr">
        <is>
          <t>Unintentional or inadvertent</t>
        </is>
      </c>
      <c r="D87" s="18" t="inlineStr">
        <is>
          <t>Disclosure</t>
        </is>
      </c>
      <c r="E87" s="4" t="inlineStr">
        <is>
          <t>unauthorized</t>
        </is>
      </c>
      <c r="F87" s="18" t="inlineStr">
        <is>
          <t>Media</t>
        </is>
      </c>
      <c r="G87" s="18" t="inlineStr">
        <is>
          <t>Sufficient risk mitigation</t>
        </is>
      </c>
      <c r="H87" s="18" t="inlineStr">
        <is>
          <t>Recipient confirmed receipt and use of data as permitted</t>
        </is>
      </c>
      <c r="I87" s="16" t="inlineStr">
        <is>
          <t>Gate 1b</t>
        </is>
      </c>
      <c r="J87" s="23" t="inlineStr">
        <is>
          <t>HIGH</t>
        </is>
      </c>
      <c r="K87" s="19" t="inlineStr"/>
      <c r="L87" s="16">
        <f>IF(K87="","—",IF(J87=K87,"MATCH","MISMATCH"))</f>
        <v/>
      </c>
    </row>
    <row r="89" ht="15" customHeight="1">
      <c r="A89" s="26" t="inlineStr">
        <is>
          <t>Gate 1b — Other unauthorized + malicious → HIGH</t>
        </is>
      </c>
    </row>
    <row r="90" ht="15" customHeight="1">
      <c r="A90" s="20" t="n">
        <v>73</v>
      </c>
      <c r="B90" s="21" t="inlineStr">
        <is>
          <t>Gate 1b — Other unauthorized + malicious → HIGH</t>
        </is>
      </c>
      <c r="C90" s="22" t="inlineStr">
        <is>
          <t>Intentional, malicious</t>
        </is>
      </c>
      <c r="D90" s="22" t="inlineStr">
        <is>
          <t>Hacking or malware other than ransomware</t>
        </is>
      </c>
      <c r="E90" s="6" t="inlineStr">
        <is>
          <t>unauthorized</t>
        </is>
      </c>
      <c r="F90" s="22" t="inlineStr">
        <is>
          <t>Covered entity</t>
        </is>
      </c>
      <c r="G90" s="22" t="inlineStr">
        <is>
          <t>Sufficient risk mitigation</t>
        </is>
      </c>
      <c r="H90" s="22" t="inlineStr">
        <is>
          <t>Recipient confirmed receipt and use of data as permitted</t>
        </is>
      </c>
      <c r="I90" s="20" t="inlineStr">
        <is>
          <t>Gate 1b</t>
        </is>
      </c>
      <c r="J90" s="23" t="inlineStr">
        <is>
          <t>HIGH</t>
        </is>
      </c>
      <c r="K90" s="19" t="inlineStr"/>
      <c r="L90" s="20">
        <f>IF(K90="","—",IF(J90=K90,"MATCH","MISMATCH"))</f>
        <v/>
      </c>
    </row>
    <row r="91" ht="15" customHeight="1">
      <c r="A91" s="16" t="n">
        <v>74</v>
      </c>
      <c r="B91" s="17" t="inlineStr">
        <is>
          <t>Gate 1b — Other unauthorized + malicious → HIGH</t>
        </is>
      </c>
      <c r="C91" s="18" t="inlineStr">
        <is>
          <t>Intentional, malicious</t>
        </is>
      </c>
      <c r="D91" s="18" t="inlineStr">
        <is>
          <t>Hacking or malware other than ransomware</t>
        </is>
      </c>
      <c r="E91" s="4" t="inlineStr">
        <is>
          <t>unauthorized</t>
        </is>
      </c>
      <c r="F91" s="18" t="inlineStr">
        <is>
          <t>Business associate or state government agency</t>
        </is>
      </c>
      <c r="G91" s="18" t="inlineStr">
        <is>
          <t>Sufficient risk mitigation</t>
        </is>
      </c>
      <c r="H91" s="18" t="inlineStr">
        <is>
          <t>Recipient confirmed receipt and use of data as permitted</t>
        </is>
      </c>
      <c r="I91" s="16" t="inlineStr">
        <is>
          <t>Gate 1b</t>
        </is>
      </c>
      <c r="J91" s="23" t="inlineStr">
        <is>
          <t>HIGH</t>
        </is>
      </c>
      <c r="K91" s="19" t="inlineStr"/>
      <c r="L91" s="16">
        <f>IF(K91="","—",IF(J91=K91,"MATCH","MISMATCH"))</f>
        <v/>
      </c>
    </row>
    <row r="92" ht="15" customHeight="1">
      <c r="A92" s="20" t="n">
        <v>75</v>
      </c>
      <c r="B92" s="21" t="inlineStr">
        <is>
          <t>Gate 1b — Other unauthorized + malicious → HIGH</t>
        </is>
      </c>
      <c r="C92" s="22" t="inlineStr">
        <is>
          <t>Intentional, malicious</t>
        </is>
      </c>
      <c r="D92" s="22" t="inlineStr">
        <is>
          <t>Hacking or malware other than ransomware</t>
        </is>
      </c>
      <c r="E92" s="6" t="inlineStr">
        <is>
          <t>unauthorized</t>
        </is>
      </c>
      <c r="F92" s="22" t="inlineStr">
        <is>
          <t>Business associate</t>
        </is>
      </c>
      <c r="G92" s="22" t="inlineStr">
        <is>
          <t>Sufficient risk mitigation</t>
        </is>
      </c>
      <c r="H92" s="22" t="inlineStr">
        <is>
          <t>Recipient confirmed receipt and use of data as permitted</t>
        </is>
      </c>
      <c r="I92" s="20" t="inlineStr">
        <is>
          <t>Gate 1b</t>
        </is>
      </c>
      <c r="J92" s="23" t="inlineStr">
        <is>
          <t>HIGH</t>
        </is>
      </c>
      <c r="K92" s="19" t="inlineStr"/>
      <c r="L92" s="20">
        <f>IF(K92="","—",IF(J92=K92,"MATCH","MISMATCH"))</f>
        <v/>
      </c>
    </row>
    <row r="94" ht="15" customHeight="1">
      <c r="A94" s="26" t="inlineStr">
        <is>
          <t>Gate 1b — Other unauthorized + not-malicious → MOD</t>
        </is>
      </c>
    </row>
    <row r="95" ht="15" customHeight="1">
      <c r="A95" s="16" t="n">
        <v>76</v>
      </c>
      <c r="B95" s="17" t="inlineStr">
        <is>
          <t>Gate 1b — Other unauthorized + not-malicious → MOD</t>
        </is>
      </c>
      <c r="C95" s="18" t="inlineStr">
        <is>
          <t>Intentional, not malicious</t>
        </is>
      </c>
      <c r="D95" s="18" t="inlineStr">
        <is>
          <t>Unauthorized use</t>
        </is>
      </c>
      <c r="E95" s="4" t="inlineStr">
        <is>
          <t>unauthorized</t>
        </is>
      </c>
      <c r="F95" s="18" t="inlineStr">
        <is>
          <t>Covered entity</t>
        </is>
      </c>
      <c r="G95" s="18" t="inlineStr">
        <is>
          <t>Sufficient risk mitigation</t>
        </is>
      </c>
      <c r="H95" s="18" t="inlineStr">
        <is>
          <t>Recipient confirmed receipt and use of data as permitted</t>
        </is>
      </c>
      <c r="I95" s="16" t="inlineStr">
        <is>
          <t>Gate 1b</t>
        </is>
      </c>
      <c r="J95" s="19" t="inlineStr">
        <is>
          <t>MODERATE</t>
        </is>
      </c>
      <c r="K95" s="19" t="inlineStr"/>
      <c r="L95" s="16">
        <f>IF(K95="","—",IF(J95=K95,"MATCH","MISMATCH"))</f>
        <v/>
      </c>
    </row>
    <row r="96" ht="15" customHeight="1">
      <c r="A96" s="20" t="n">
        <v>77</v>
      </c>
      <c r="B96" s="21" t="inlineStr">
        <is>
          <t>Gate 1b — Other unauthorized + not-malicious → MOD</t>
        </is>
      </c>
      <c r="C96" s="22" t="inlineStr">
        <is>
          <t>Intentional, not malicious</t>
        </is>
      </c>
      <c r="D96" s="22" t="inlineStr">
        <is>
          <t>Unauthorized use</t>
        </is>
      </c>
      <c r="E96" s="6" t="inlineStr">
        <is>
          <t>unauthorized</t>
        </is>
      </c>
      <c r="F96" s="22" t="inlineStr">
        <is>
          <t>Business associate or state government agency</t>
        </is>
      </c>
      <c r="G96" s="22" t="inlineStr">
        <is>
          <t>Sufficient risk mitigation</t>
        </is>
      </c>
      <c r="H96" s="22" t="inlineStr">
        <is>
          <t>Recipient confirmed receipt and use of data as permitted</t>
        </is>
      </c>
      <c r="I96" s="20" t="inlineStr">
        <is>
          <t>Gate 1b</t>
        </is>
      </c>
      <c r="J96" s="19" t="inlineStr">
        <is>
          <t>MODERATE</t>
        </is>
      </c>
      <c r="K96" s="19" t="inlineStr"/>
      <c r="L96" s="20">
        <f>IF(K96="","—",IF(J96=K96,"MATCH","MISMATCH"))</f>
        <v/>
      </c>
    </row>
    <row r="97" ht="15" customHeight="1">
      <c r="A97" s="16" t="n">
        <v>78</v>
      </c>
      <c r="B97" s="17" t="inlineStr">
        <is>
          <t>Gate 1b — Other unauthorized + not-malicious → MOD</t>
        </is>
      </c>
      <c r="C97" s="18" t="inlineStr">
        <is>
          <t>Intentional, not malicious</t>
        </is>
      </c>
      <c r="D97" s="18" t="inlineStr">
        <is>
          <t>Unauthorized use</t>
        </is>
      </c>
      <c r="E97" s="4" t="inlineStr">
        <is>
          <t>unauthorized</t>
        </is>
      </c>
      <c r="F97" s="18" t="inlineStr">
        <is>
          <t>Business associate</t>
        </is>
      </c>
      <c r="G97" s="18" t="inlineStr">
        <is>
          <t>Sufficient risk mitigation</t>
        </is>
      </c>
      <c r="H97" s="18" t="inlineStr">
        <is>
          <t>Recipient confirmed receipt and use of data as permitted</t>
        </is>
      </c>
      <c r="I97" s="16" t="inlineStr">
        <is>
          <t>Gate 1b</t>
        </is>
      </c>
      <c r="J97" s="19" t="inlineStr">
        <is>
          <t>MODERATE</t>
        </is>
      </c>
      <c r="K97" s="19" t="inlineStr"/>
      <c r="L97" s="16">
        <f>IF(K97="","—",IF(J97=K97,"MATCH","MISMATCH"))</f>
        <v/>
      </c>
    </row>
    <row r="99" ht="15" customHeight="1">
      <c r="A99" s="26" t="inlineStr">
        <is>
          <t>Gate 3 — Auth + confirmed_viewing + non-obligated → MOD</t>
        </is>
      </c>
    </row>
    <row r="100" ht="15" customHeight="1">
      <c r="A100" s="20" t="n">
        <v>79</v>
      </c>
      <c r="B100" s="21" t="inlineStr">
        <is>
          <t>Gate 3 — Auth + confirmed_viewing + non-obligated → MOD</t>
        </is>
      </c>
      <c r="C100" s="22" t="inlineStr">
        <is>
          <t>Intentional, malicious</t>
        </is>
      </c>
      <c r="D100" s="22" t="inlineStr">
        <is>
          <t>Hacking or malware other than ransomware</t>
        </is>
      </c>
      <c r="E100" s="6" t="inlineStr">
        <is>
          <t>authorized</t>
        </is>
      </c>
      <c r="F100" s="22" t="inlineStr">
        <is>
          <t>Service provider</t>
        </is>
      </c>
      <c r="G100" s="22" t="inlineStr">
        <is>
          <t>Insufficient or unknown risk mitigation</t>
        </is>
      </c>
      <c r="H100" s="22" t="inlineStr">
        <is>
          <t>Confirmed viewing or acquisition without evidence of any improper use</t>
        </is>
      </c>
      <c r="I100" s="20" t="inlineStr">
        <is>
          <t>Gate 3</t>
        </is>
      </c>
      <c r="J100" s="19" t="inlineStr">
        <is>
          <t>MODERATE</t>
        </is>
      </c>
      <c r="K100" s="19" t="inlineStr"/>
      <c r="L100" s="20">
        <f>IF(K100="","—",IF(J100=K100,"MATCH","MISMATCH"))</f>
        <v/>
      </c>
    </row>
    <row r="101" ht="15" customHeight="1">
      <c r="A101" s="16" t="n">
        <v>80</v>
      </c>
      <c r="B101" s="17" t="inlineStr">
        <is>
          <t>Gate 3 — Auth + confirmed_viewing + non-obligated → MOD</t>
        </is>
      </c>
      <c r="C101" s="18" t="inlineStr">
        <is>
          <t>Intentional, malicious</t>
        </is>
      </c>
      <c r="D101" s="18" t="inlineStr">
        <is>
          <t>Hacking or malware other than ransomware</t>
        </is>
      </c>
      <c r="E101" s="4" t="inlineStr">
        <is>
          <t>authorized</t>
        </is>
      </c>
      <c r="F101" s="18" t="inlineStr">
        <is>
          <t>Institutional client</t>
        </is>
      </c>
      <c r="G101" s="18" t="inlineStr">
        <is>
          <t>Insufficient or unknown risk mitigation</t>
        </is>
      </c>
      <c r="H101" s="18" t="inlineStr">
        <is>
          <t>Confirmed viewing or acquisition without evidence of any improper use</t>
        </is>
      </c>
      <c r="I101" s="16" t="inlineStr">
        <is>
          <t>Gate 3</t>
        </is>
      </c>
      <c r="J101" s="19" t="inlineStr">
        <is>
          <t>MODERATE</t>
        </is>
      </c>
      <c r="K101" s="19" t="inlineStr"/>
      <c r="L101" s="16">
        <f>IF(K101="","—",IF(J101=K101,"MATCH","MISMATCH"))</f>
        <v/>
      </c>
    </row>
    <row r="102" ht="15" customHeight="1">
      <c r="A102" s="20" t="n">
        <v>81</v>
      </c>
      <c r="B102" s="21" t="inlineStr">
        <is>
          <t>Gate 3 — Auth + confirmed_viewing + non-obligated → MOD</t>
        </is>
      </c>
      <c r="C102" s="22" t="inlineStr">
        <is>
          <t>Intentional, not malicious</t>
        </is>
      </c>
      <c r="D102" s="22" t="inlineStr">
        <is>
          <t>Unauthorized use</t>
        </is>
      </c>
      <c r="E102" s="6" t="inlineStr">
        <is>
          <t>authorized</t>
        </is>
      </c>
      <c r="F102" s="22" t="inlineStr">
        <is>
          <t>Service provider</t>
        </is>
      </c>
      <c r="G102" s="22" t="inlineStr">
        <is>
          <t>Insufficient or unknown risk mitigation</t>
        </is>
      </c>
      <c r="H102" s="22" t="inlineStr">
        <is>
          <t>Confirmed viewing or acquisition without evidence of any improper use</t>
        </is>
      </c>
      <c r="I102" s="20" t="inlineStr">
        <is>
          <t>Gate 3</t>
        </is>
      </c>
      <c r="J102" s="19" t="inlineStr">
        <is>
          <t>MODERATE</t>
        </is>
      </c>
      <c r="K102" s="19" t="inlineStr"/>
      <c r="L102" s="20">
        <f>IF(K102="","—",IF(J102=K102,"MATCH","MISMATCH"))</f>
        <v/>
      </c>
    </row>
    <row r="104" ht="15" customHeight="1">
      <c r="A104" s="26" t="inlineStr">
        <is>
          <t>Gate 3 — Auth + confirmed_viewing + obligated → HIGH</t>
        </is>
      </c>
    </row>
    <row r="105" ht="15" customHeight="1">
      <c r="A105" s="16" t="n">
        <v>82</v>
      </c>
      <c r="B105" s="17" t="inlineStr">
        <is>
          <t>Gate 3 — Auth + confirmed_viewing + obligated → HIGH</t>
        </is>
      </c>
      <c r="C105" s="18" t="inlineStr">
        <is>
          <t>Intentional, malicious</t>
        </is>
      </c>
      <c r="D105" s="18" t="inlineStr">
        <is>
          <t>Hacking or malware other than ransomware</t>
        </is>
      </c>
      <c r="E105" s="4" t="inlineStr">
        <is>
          <t>authorized</t>
        </is>
      </c>
      <c r="F105" s="18" t="inlineStr">
        <is>
          <t>Business associate</t>
        </is>
      </c>
      <c r="G105" s="18" t="inlineStr">
        <is>
          <t>Insufficient or unknown risk mitigation</t>
        </is>
      </c>
      <c r="H105" s="18" t="inlineStr">
        <is>
          <t>Confirmed viewing or acquisition without evidence of any improper use</t>
        </is>
      </c>
      <c r="I105" s="16" t="inlineStr">
        <is>
          <t>Gate 3</t>
        </is>
      </c>
      <c r="J105" s="23" t="inlineStr">
        <is>
          <t>HIGH</t>
        </is>
      </c>
      <c r="K105" s="19" t="inlineStr"/>
      <c r="L105" s="16">
        <f>IF(K105="","—",IF(J105=K105,"MATCH","MISMATCH"))</f>
        <v/>
      </c>
    </row>
    <row r="106" ht="15" customHeight="1">
      <c r="A106" s="20" t="n">
        <v>83</v>
      </c>
      <c r="B106" s="21" t="inlineStr">
        <is>
          <t>Gate 3 — Auth + confirmed_viewing + obligated → HIGH</t>
        </is>
      </c>
      <c r="C106" s="22" t="inlineStr">
        <is>
          <t>Intentional, malicious</t>
        </is>
      </c>
      <c r="D106" s="22" t="inlineStr">
        <is>
          <t>Hacking or malware other than ransomware</t>
        </is>
      </c>
      <c r="E106" s="6" t="inlineStr">
        <is>
          <t>authorized</t>
        </is>
      </c>
      <c r="F106" s="22" t="inlineStr">
        <is>
          <t>Registered investment advisor</t>
        </is>
      </c>
      <c r="G106" s="22" t="inlineStr">
        <is>
          <t>Insufficient or unknown risk mitigation</t>
        </is>
      </c>
      <c r="H106" s="22" t="inlineStr">
        <is>
          <t>Confirmed viewing or acquisition without evidence of any improper use</t>
        </is>
      </c>
      <c r="I106" s="20" t="inlineStr">
        <is>
          <t>Gate 3</t>
        </is>
      </c>
      <c r="J106" s="23" t="inlineStr">
        <is>
          <t>HIGH</t>
        </is>
      </c>
      <c r="K106" s="19" t="inlineStr"/>
      <c r="L106" s="20">
        <f>IF(K106="","—",IF(J106=K106,"MATCH","MISMATCH"))</f>
        <v/>
      </c>
    </row>
    <row r="107" ht="15" customHeight="1">
      <c r="A107" s="16" t="n">
        <v>84</v>
      </c>
      <c r="B107" s="17" t="inlineStr">
        <is>
          <t>Gate 3 — Auth + confirmed_viewing + obligated → HIGH</t>
        </is>
      </c>
      <c r="C107" s="18" t="inlineStr">
        <is>
          <t>Intentional, malicious</t>
        </is>
      </c>
      <c r="D107" s="18" t="inlineStr">
        <is>
          <t>Hacking or malware other than ransomware</t>
        </is>
      </c>
      <c r="E107" s="4" t="inlineStr">
        <is>
          <t>authorized</t>
        </is>
      </c>
      <c r="F107" s="18" t="inlineStr">
        <is>
          <t>Federal agency obligated to Privacy Act of 1974 and FISMA</t>
        </is>
      </c>
      <c r="G107" s="18" t="inlineStr">
        <is>
          <t>Insufficient or unknown risk mitigation</t>
        </is>
      </c>
      <c r="H107" s="18" t="inlineStr">
        <is>
          <t>Confirmed viewing or acquisition without evidence of any improper use</t>
        </is>
      </c>
      <c r="I107" s="16" t="inlineStr">
        <is>
          <t>Gate 3</t>
        </is>
      </c>
      <c r="J107" s="23" t="inlineStr">
        <is>
          <t>HIGH</t>
        </is>
      </c>
      <c r="K107" s="19" t="inlineStr"/>
      <c r="L107" s="16">
        <f>IF(K107="","—",IF(J107=K107,"MATCH","MISMATCH"))</f>
        <v/>
      </c>
    </row>
    <row r="109" ht="15" customHeight="1">
      <c r="A109" s="26" t="inlineStr">
        <is>
          <t>Gate 3 — Auth + G3_EXTREME → EXTREME</t>
        </is>
      </c>
    </row>
    <row r="110" ht="15" customHeight="1">
      <c r="A110" s="20" t="n">
        <v>85</v>
      </c>
      <c r="B110" s="21" t="inlineStr">
        <is>
          <t>Gate 3 — Auth + G3_EXTREME → EXTREME</t>
        </is>
      </c>
      <c r="C110" s="22" t="inlineStr">
        <is>
          <t>Intentional, malicious</t>
        </is>
      </c>
      <c r="D110" s="22" t="inlineStr">
        <is>
          <t>Hacking or malware other than ransomware</t>
        </is>
      </c>
      <c r="E110" s="6" t="inlineStr">
        <is>
          <t>authorized</t>
        </is>
      </c>
      <c r="F110" s="22" t="inlineStr">
        <is>
          <t>Covered entity</t>
        </is>
      </c>
      <c r="G110" s="22" t="inlineStr">
        <is>
          <t>Insufficient or unknown risk mitigation</t>
        </is>
      </c>
      <c r="H110" s="22" t="inlineStr">
        <is>
          <t>Data has been sent to media or published</t>
        </is>
      </c>
      <c r="I110" s="20" t="inlineStr">
        <is>
          <t>Gate 3</t>
        </is>
      </c>
      <c r="J110" s="27" t="inlineStr">
        <is>
          <t>EXTREME</t>
        </is>
      </c>
      <c r="K110" s="19" t="inlineStr"/>
      <c r="L110" s="20">
        <f>IF(K110="","—",IF(J110=K110,"MATCH","MISMATCH"))</f>
        <v/>
      </c>
    </row>
    <row r="111" ht="15" customHeight="1">
      <c r="A111" s="16" t="n">
        <v>86</v>
      </c>
      <c r="B111" s="17" t="inlineStr">
        <is>
          <t>Gate 3 — Auth + G3_EXTREME → EXTREME</t>
        </is>
      </c>
      <c r="C111" s="18" t="inlineStr">
        <is>
          <t>Intentional, malicious</t>
        </is>
      </c>
      <c r="D111" s="18" t="inlineStr">
        <is>
          <t>Hacking or malware other than ransomware</t>
        </is>
      </c>
      <c r="E111" s="4" t="inlineStr">
        <is>
          <t>authorized</t>
        </is>
      </c>
      <c r="F111" s="18" t="inlineStr">
        <is>
          <t>Business associate</t>
        </is>
      </c>
      <c r="G111" s="18" t="inlineStr">
        <is>
          <t>Insufficient or unknown risk mitigation</t>
        </is>
      </c>
      <c r="H111" s="18" t="inlineStr">
        <is>
          <t>Data has been sent to media or published</t>
        </is>
      </c>
      <c r="I111" s="16" t="inlineStr">
        <is>
          <t>Gate 3</t>
        </is>
      </c>
      <c r="J111" s="27" t="inlineStr">
        <is>
          <t>EXTREME</t>
        </is>
      </c>
      <c r="K111" s="19" t="inlineStr"/>
      <c r="L111" s="16">
        <f>IF(K111="","—",IF(J111=K111,"MATCH","MISMATCH"))</f>
        <v/>
      </c>
    </row>
    <row r="112" ht="15" customHeight="1">
      <c r="A112" s="20" t="n">
        <v>87</v>
      </c>
      <c r="B112" s="21" t="inlineStr">
        <is>
          <t>Gate 3 — Auth + G3_EXTREME → EXTREME</t>
        </is>
      </c>
      <c r="C112" s="22" t="inlineStr">
        <is>
          <t>Intentional, malicious</t>
        </is>
      </c>
      <c r="D112" s="22" t="inlineStr">
        <is>
          <t>Hacking or malware other than ransomware</t>
        </is>
      </c>
      <c r="E112" s="6" t="inlineStr">
        <is>
          <t>authorized</t>
        </is>
      </c>
      <c r="F112" s="22" t="inlineStr">
        <is>
          <t>Service provider</t>
        </is>
      </c>
      <c r="G112" s="22" t="inlineStr">
        <is>
          <t>Insufficient or unknown risk mitigation</t>
        </is>
      </c>
      <c r="H112" s="22" t="inlineStr">
        <is>
          <t>Confirmed improper use or further exposure</t>
        </is>
      </c>
      <c r="I112" s="20" t="inlineStr">
        <is>
          <t>Gate 3</t>
        </is>
      </c>
      <c r="J112" s="27" t="inlineStr">
        <is>
          <t>EXTREME</t>
        </is>
      </c>
      <c r="K112" s="19" t="inlineStr"/>
      <c r="L112" s="20">
        <f>IF(K112="","—",IF(J112=K112,"MATCH","MISMATCH"))</f>
        <v/>
      </c>
    </row>
    <row r="114" ht="15" customHeight="1">
      <c r="A114" s="26" t="inlineStr">
        <is>
          <t>Gate 3 — Auth + G3_HIGH → HIGH</t>
        </is>
      </c>
    </row>
    <row r="115" ht="15" customHeight="1">
      <c r="A115" s="16" t="n">
        <v>88</v>
      </c>
      <c r="B115" s="17" t="inlineStr">
        <is>
          <t>Gate 3 — Auth + G3_HIGH → HIGH</t>
        </is>
      </c>
      <c r="C115" s="18" t="inlineStr">
        <is>
          <t>Intentional, malicious</t>
        </is>
      </c>
      <c r="D115" s="18" t="inlineStr">
        <is>
          <t>Hacking or malware other than ransomware</t>
        </is>
      </c>
      <c r="E115" s="4" t="inlineStr">
        <is>
          <t>authorized</t>
        </is>
      </c>
      <c r="F115" s="18" t="inlineStr">
        <is>
          <t>Covered entity</t>
        </is>
      </c>
      <c r="G115" s="18" t="inlineStr">
        <is>
          <t>Insufficient or unknown risk mitigation</t>
        </is>
      </c>
      <c r="H115" s="18" t="inlineStr">
        <is>
          <t>Destroyed properly but unsure of backup or copy status</t>
        </is>
      </c>
      <c r="I115" s="16" t="inlineStr">
        <is>
          <t>Gate 3</t>
        </is>
      </c>
      <c r="J115" s="23" t="inlineStr">
        <is>
          <t>HIGH</t>
        </is>
      </c>
      <c r="K115" s="19" t="inlineStr"/>
      <c r="L115" s="16">
        <f>IF(K115="","—",IF(J115=K115,"MATCH","MISMATCH"))</f>
        <v/>
      </c>
    </row>
    <row r="116" ht="15" customHeight="1">
      <c r="A116" s="20" t="n">
        <v>89</v>
      </c>
      <c r="B116" s="21" t="inlineStr">
        <is>
          <t>Gate 3 — Auth + G3_HIGH → HIGH</t>
        </is>
      </c>
      <c r="C116" s="22" t="inlineStr">
        <is>
          <t>Intentional, malicious</t>
        </is>
      </c>
      <c r="D116" s="22" t="inlineStr">
        <is>
          <t>Hacking or malware other than ransomware</t>
        </is>
      </c>
      <c r="E116" s="6" t="inlineStr">
        <is>
          <t>authorized</t>
        </is>
      </c>
      <c r="F116" s="22" t="inlineStr">
        <is>
          <t>Business associate</t>
        </is>
      </c>
      <c r="G116" s="22" t="inlineStr">
        <is>
          <t>Insufficient or unknown risk mitigation</t>
        </is>
      </c>
      <c r="H116" s="22" t="inlineStr">
        <is>
          <t>Destroyed properly but unsure of backup or copy status</t>
        </is>
      </c>
      <c r="I116" s="20" t="inlineStr">
        <is>
          <t>Gate 3</t>
        </is>
      </c>
      <c r="J116" s="23" t="inlineStr">
        <is>
          <t>HIGH</t>
        </is>
      </c>
      <c r="K116" s="19" t="inlineStr"/>
      <c r="L116" s="20">
        <f>IF(K116="","—",IF(J116=K116,"MATCH","MISMATCH"))</f>
        <v/>
      </c>
    </row>
    <row r="117" ht="15" customHeight="1">
      <c r="A117" s="16" t="n">
        <v>90</v>
      </c>
      <c r="B117" s="17" t="inlineStr">
        <is>
          <t>Gate 3 — Auth + G3_HIGH → HIGH</t>
        </is>
      </c>
      <c r="C117" s="18" t="inlineStr">
        <is>
          <t>Intentional, malicious</t>
        </is>
      </c>
      <c r="D117" s="18" t="inlineStr">
        <is>
          <t>Hacking or malware other than ransomware</t>
        </is>
      </c>
      <c r="E117" s="4" t="inlineStr">
        <is>
          <t>authorized</t>
        </is>
      </c>
      <c r="F117" s="18" t="inlineStr">
        <is>
          <t>Service provider</t>
        </is>
      </c>
      <c r="G117" s="18" t="inlineStr">
        <is>
          <t>Insufficient or unknown risk mitigation</t>
        </is>
      </c>
      <c r="H117" s="18" t="inlineStr">
        <is>
          <t>Destroyed properly but unsure of backup or copy status</t>
        </is>
      </c>
      <c r="I117" s="16" t="inlineStr">
        <is>
          <t>Gate 3</t>
        </is>
      </c>
      <c r="J117" s="23" t="inlineStr">
        <is>
          <t>HIGH</t>
        </is>
      </c>
      <c r="K117" s="19" t="inlineStr"/>
      <c r="L117" s="16">
        <f>IF(K117="","—",IF(J117=K117,"MATCH","MISMATCH"))</f>
        <v/>
      </c>
    </row>
    <row r="119" ht="15" customHeight="1">
      <c r="A119" s="26" t="inlineStr">
        <is>
          <t>Gate 3 — Auth + ransomware + malicious → EXTREME</t>
        </is>
      </c>
    </row>
    <row r="120" ht="15" customHeight="1">
      <c r="A120" s="20" t="n">
        <v>91</v>
      </c>
      <c r="B120" s="21" t="inlineStr">
        <is>
          <t>Gate 3 — Auth + ransomware + malicious → EXTREME</t>
        </is>
      </c>
      <c r="C120" s="22" t="inlineStr">
        <is>
          <t>Intentional, malicious</t>
        </is>
      </c>
      <c r="D120" s="22" t="inlineStr">
        <is>
          <t>Hacking or malware other than ransomware</t>
        </is>
      </c>
      <c r="E120" s="6" t="inlineStr">
        <is>
          <t>authorized</t>
        </is>
      </c>
      <c r="F120" s="22" t="inlineStr">
        <is>
          <t>Covered entity</t>
        </is>
      </c>
      <c r="G120" s="22" t="inlineStr">
        <is>
          <t>Insufficient or unknown risk mitigation</t>
        </is>
      </c>
      <c r="H120" s="22" t="inlineStr">
        <is>
          <t>Confirmed ransomware acquisition with high risk to data integrity or availability</t>
        </is>
      </c>
      <c r="I120" s="20" t="inlineStr">
        <is>
          <t>Gate 3</t>
        </is>
      </c>
      <c r="J120" s="27" t="inlineStr">
        <is>
          <t>EXTREME</t>
        </is>
      </c>
      <c r="K120" s="19" t="inlineStr"/>
      <c r="L120" s="20">
        <f>IF(K120="","—",IF(J120=K120,"MATCH","MISMATCH"))</f>
        <v/>
      </c>
    </row>
    <row r="121" ht="15" customHeight="1">
      <c r="A121" s="16" t="n">
        <v>92</v>
      </c>
      <c r="B121" s="17" t="inlineStr">
        <is>
          <t>Gate 3 — Auth + ransomware + malicious → EXTREME</t>
        </is>
      </c>
      <c r="C121" s="18" t="inlineStr">
        <is>
          <t>Intentional, malicious</t>
        </is>
      </c>
      <c r="D121" s="18" t="inlineStr">
        <is>
          <t>Hacking or malware other than ransomware</t>
        </is>
      </c>
      <c r="E121" s="4" t="inlineStr">
        <is>
          <t>authorized</t>
        </is>
      </c>
      <c r="F121" s="18" t="inlineStr">
        <is>
          <t>Business associate</t>
        </is>
      </c>
      <c r="G121" s="18" t="inlineStr">
        <is>
          <t>Insufficient or unknown risk mitigation</t>
        </is>
      </c>
      <c r="H121" s="18" t="inlineStr">
        <is>
          <t>Confirmed ransomware acquisition with high risk to data integrity or availability</t>
        </is>
      </c>
      <c r="I121" s="16" t="inlineStr">
        <is>
          <t>Gate 3</t>
        </is>
      </c>
      <c r="J121" s="27" t="inlineStr">
        <is>
          <t>EXTREME</t>
        </is>
      </c>
      <c r="K121" s="19" t="inlineStr"/>
      <c r="L121" s="16">
        <f>IF(K121="","—",IF(J121=K121,"MATCH","MISMATCH"))</f>
        <v/>
      </c>
    </row>
    <row r="122" ht="15" customHeight="1">
      <c r="A122" s="20" t="n">
        <v>93</v>
      </c>
      <c r="B122" s="21" t="inlineStr">
        <is>
          <t>Gate 3 — Auth + ransomware + malicious → EXTREME</t>
        </is>
      </c>
      <c r="C122" s="22" t="inlineStr">
        <is>
          <t>Intentional, malicious</t>
        </is>
      </c>
      <c r="D122" s="22" t="inlineStr">
        <is>
          <t>Hacking or malware other than ransomware</t>
        </is>
      </c>
      <c r="E122" s="6" t="inlineStr">
        <is>
          <t>authorized</t>
        </is>
      </c>
      <c r="F122" s="22" t="inlineStr">
        <is>
          <t>Service provider</t>
        </is>
      </c>
      <c r="G122" s="22" t="inlineStr">
        <is>
          <t>Insufficient or unknown risk mitigation</t>
        </is>
      </c>
      <c r="H122" s="22" t="inlineStr">
        <is>
          <t>Confirmed ransomware acquisition with high risk to data integrity or availability</t>
        </is>
      </c>
      <c r="I122" s="20" t="inlineStr">
        <is>
          <t>Gate 3</t>
        </is>
      </c>
      <c r="J122" s="27" t="inlineStr">
        <is>
          <t>EXTREME</t>
        </is>
      </c>
      <c r="K122" s="19" t="inlineStr"/>
      <c r="L122" s="20">
        <f>IF(K122="","—",IF(J122=K122,"MATCH","MISMATCH"))</f>
        <v/>
      </c>
    </row>
    <row r="124" ht="15" customHeight="1">
      <c r="A124" s="26" t="inlineStr">
        <is>
          <t>Gate 3 — Unauthorized + malicious/not-malicious → EXTREME</t>
        </is>
      </c>
    </row>
    <row r="125" ht="15" customHeight="1">
      <c r="A125" s="16" t="n">
        <v>94</v>
      </c>
      <c r="B125" s="17" t="inlineStr">
        <is>
          <t>Gate 3 — Unauthorized + malicious/not-malicious → EXTREME</t>
        </is>
      </c>
      <c r="C125" s="18" t="inlineStr">
        <is>
          <t>Intentional, malicious</t>
        </is>
      </c>
      <c r="D125" s="18" t="inlineStr">
        <is>
          <t>Hacking or malware other than ransomware</t>
        </is>
      </c>
      <c r="E125" s="4" t="inlineStr">
        <is>
          <t>unauthorized</t>
        </is>
      </c>
      <c r="F125" s="18" t="inlineStr">
        <is>
          <t>Covered entity</t>
        </is>
      </c>
      <c r="G125" s="18" t="inlineStr">
        <is>
          <t>Insufficient or unknown risk mitigation</t>
        </is>
      </c>
      <c r="H125" s="18" t="inlineStr">
        <is>
          <t>Destroyed properly but unsure of backup or copy status</t>
        </is>
      </c>
      <c r="I125" s="16" t="inlineStr">
        <is>
          <t>Gate 3</t>
        </is>
      </c>
      <c r="J125" s="27" t="inlineStr">
        <is>
          <t>EXTREME</t>
        </is>
      </c>
      <c r="K125" s="19" t="inlineStr"/>
      <c r="L125" s="16">
        <f>IF(K125="","—",IF(J125=K125,"MATCH","MISMATCH"))</f>
        <v/>
      </c>
    </row>
    <row r="126" ht="15" customHeight="1">
      <c r="A126" s="20" t="n">
        <v>95</v>
      </c>
      <c r="B126" s="21" t="inlineStr">
        <is>
          <t>Gate 3 — Unauthorized + malicious/not-malicious → EXTREME</t>
        </is>
      </c>
      <c r="C126" s="22" t="inlineStr">
        <is>
          <t>Intentional, malicious</t>
        </is>
      </c>
      <c r="D126" s="22" t="inlineStr">
        <is>
          <t>Hacking or malware other than ransomware</t>
        </is>
      </c>
      <c r="E126" s="6" t="inlineStr">
        <is>
          <t>unauthorized</t>
        </is>
      </c>
      <c r="F126" s="22" t="inlineStr">
        <is>
          <t>Business associate or state government agency</t>
        </is>
      </c>
      <c r="G126" s="22" t="inlineStr">
        <is>
          <t>Insufficient or unknown risk mitigation</t>
        </is>
      </c>
      <c r="H126" s="22" t="inlineStr">
        <is>
          <t>Destroyed properly but unsure of backup or copy status</t>
        </is>
      </c>
      <c r="I126" s="20" t="inlineStr">
        <is>
          <t>Gate 3</t>
        </is>
      </c>
      <c r="J126" s="27" t="inlineStr">
        <is>
          <t>EXTREME</t>
        </is>
      </c>
      <c r="K126" s="19" t="inlineStr"/>
      <c r="L126" s="20">
        <f>IF(K126="","—",IF(J126=K126,"MATCH","MISMATCH"))</f>
        <v/>
      </c>
    </row>
    <row r="127" ht="15" customHeight="1">
      <c r="A127" s="16" t="n">
        <v>96</v>
      </c>
      <c r="B127" s="17" t="inlineStr">
        <is>
          <t>Gate 3 — Unauthorized + malicious/not-malicious → EXTREME</t>
        </is>
      </c>
      <c r="C127" s="18" t="inlineStr">
        <is>
          <t>Intentional, malicious</t>
        </is>
      </c>
      <c r="D127" s="18" t="inlineStr">
        <is>
          <t>Hacking or malware other than ransomware</t>
        </is>
      </c>
      <c r="E127" s="4" t="inlineStr">
        <is>
          <t>unauthorized</t>
        </is>
      </c>
      <c r="F127" s="18" t="inlineStr">
        <is>
          <t>Business associate</t>
        </is>
      </c>
      <c r="G127" s="18" t="inlineStr">
        <is>
          <t>Insufficient or unknown risk mitigation</t>
        </is>
      </c>
      <c r="H127" s="18" t="inlineStr">
        <is>
          <t>Destroyed properly but unsure of backup or copy status</t>
        </is>
      </c>
      <c r="I127" s="16" t="inlineStr">
        <is>
          <t>Gate 3</t>
        </is>
      </c>
      <c r="J127" s="27" t="inlineStr">
        <is>
          <t>EXTREME</t>
        </is>
      </c>
      <c r="K127" s="19" t="inlineStr"/>
      <c r="L127" s="16">
        <f>IF(K127="","—",IF(J127=K127,"MATCH","MISMATCH"))</f>
        <v/>
      </c>
    </row>
    <row r="129" ht="15" customHeight="1">
      <c r="A129" s="26" t="inlineStr">
        <is>
          <t>Gate 3 — Unauth + unintentional + G3_EXTREME → EXTREME</t>
        </is>
      </c>
    </row>
    <row r="130" ht="15" customHeight="1">
      <c r="A130" s="20" t="n">
        <v>97</v>
      </c>
      <c r="B130" s="21" t="inlineStr">
        <is>
          <t>Gate 3 — Unauth + unintentional + G3_EXTREME → EXTREME</t>
        </is>
      </c>
      <c r="C130" s="22" t="inlineStr">
        <is>
          <t>Unintentional or inadvertent</t>
        </is>
      </c>
      <c r="D130" s="22" t="inlineStr">
        <is>
          <t>Disclosure</t>
        </is>
      </c>
      <c r="E130" s="6" t="inlineStr">
        <is>
          <t>unauthorized</t>
        </is>
      </c>
      <c r="F130" s="22" t="inlineStr">
        <is>
          <t>Service provider</t>
        </is>
      </c>
      <c r="G130" s="22" t="inlineStr">
        <is>
          <t>Insufficient or unknown risk mitigation</t>
        </is>
      </c>
      <c r="H130" s="22" t="inlineStr">
        <is>
          <t>Confirmed improper use or further exposure</t>
        </is>
      </c>
      <c r="I130" s="20" t="inlineStr">
        <is>
          <t>Gate 3</t>
        </is>
      </c>
      <c r="J130" s="27" t="inlineStr">
        <is>
          <t>EXTREME</t>
        </is>
      </c>
      <c r="K130" s="19" t="inlineStr"/>
      <c r="L130" s="20">
        <f>IF(K130="","—",IF(J130=K130,"MATCH","MISMATCH"))</f>
        <v/>
      </c>
    </row>
    <row r="131" ht="15" customHeight="1">
      <c r="A131" s="16" t="n">
        <v>98</v>
      </c>
      <c r="B131" s="17" t="inlineStr">
        <is>
          <t>Gate 3 — Unauth + unintentional + G3_EXTREME → EXTREME</t>
        </is>
      </c>
      <c r="C131" s="18" t="inlineStr">
        <is>
          <t>Unintentional or inadvertent</t>
        </is>
      </c>
      <c r="D131" s="18" t="inlineStr">
        <is>
          <t>Disclosure</t>
        </is>
      </c>
      <c r="E131" s="4" t="inlineStr">
        <is>
          <t>unauthorized</t>
        </is>
      </c>
      <c r="F131" s="18" t="inlineStr">
        <is>
          <t>Institutional client</t>
        </is>
      </c>
      <c r="G131" s="18" t="inlineStr">
        <is>
          <t>Insufficient or unknown risk mitigation</t>
        </is>
      </c>
      <c r="H131" s="18" t="inlineStr">
        <is>
          <t>Confirmed improper use or further exposure</t>
        </is>
      </c>
      <c r="I131" s="16" t="inlineStr">
        <is>
          <t>Gate 3</t>
        </is>
      </c>
      <c r="J131" s="27" t="inlineStr">
        <is>
          <t>EXTREME</t>
        </is>
      </c>
      <c r="K131" s="19" t="inlineStr"/>
      <c r="L131" s="16">
        <f>IF(K131="","—",IF(J131=K131,"MATCH","MISMATCH"))</f>
        <v/>
      </c>
    </row>
    <row r="132" ht="15" customHeight="1">
      <c r="A132" s="20" t="n">
        <v>99</v>
      </c>
      <c r="B132" s="21" t="inlineStr">
        <is>
          <t>Gate 3 — Unauth + unintentional + G3_EXTREME → EXTREME</t>
        </is>
      </c>
      <c r="C132" s="22" t="inlineStr">
        <is>
          <t>Unintentional or inadvertent</t>
        </is>
      </c>
      <c r="D132" s="22" t="inlineStr">
        <is>
          <t>Disclosure</t>
        </is>
      </c>
      <c r="E132" s="6" t="inlineStr">
        <is>
          <t>unauthorized</t>
        </is>
      </c>
      <c r="F132" s="22" t="inlineStr">
        <is>
          <t>Vendor</t>
        </is>
      </c>
      <c r="G132" s="22" t="inlineStr">
        <is>
          <t>Insufficient or unknown risk mitigation</t>
        </is>
      </c>
      <c r="H132" s="22" t="inlineStr">
        <is>
          <t>Confirmed improper use or further exposure</t>
        </is>
      </c>
      <c r="I132" s="20" t="inlineStr">
        <is>
          <t>Gate 3</t>
        </is>
      </c>
      <c r="J132" s="27" t="inlineStr">
        <is>
          <t>EXTREME</t>
        </is>
      </c>
      <c r="K132" s="19" t="inlineStr"/>
      <c r="L132" s="20">
        <f>IF(K132="","—",IF(J132=K132,"MATCH","MISMATCH"))</f>
        <v/>
      </c>
    </row>
    <row r="134" ht="15" customHeight="1">
      <c r="A134" s="26" t="inlineStr">
        <is>
          <t>Gate 3 — Unauth + unintentional + obligated desc → HIGH</t>
        </is>
      </c>
    </row>
    <row r="135" ht="15" customHeight="1">
      <c r="A135" s="16" t="n">
        <v>100</v>
      </c>
      <c r="B135" s="17" t="inlineStr">
        <is>
          <t>Gate 3 — Unauth + unintentional + obligated desc → HIGH</t>
        </is>
      </c>
      <c r="C135" s="18" t="inlineStr">
        <is>
          <t>Unintentional or inadvertent</t>
        </is>
      </c>
      <c r="D135" s="18" t="inlineStr">
        <is>
          <t>Disclosure</t>
        </is>
      </c>
      <c r="E135" s="4" t="inlineStr">
        <is>
          <t>unauthorized</t>
        </is>
      </c>
      <c r="F135" s="18" t="inlineStr">
        <is>
          <t>Covered entity</t>
        </is>
      </c>
      <c r="G135" s="18" t="inlineStr">
        <is>
          <t>Insufficient or unknown risk mitigation</t>
        </is>
      </c>
      <c r="H135" s="18" t="inlineStr">
        <is>
          <t>Destroyed properly but unsure of backup or copy status</t>
        </is>
      </c>
      <c r="I135" s="16" t="inlineStr">
        <is>
          <t>Gate 3</t>
        </is>
      </c>
      <c r="J135" s="23" t="inlineStr">
        <is>
          <t>HIGH</t>
        </is>
      </c>
      <c r="K135" s="19" t="inlineStr"/>
      <c r="L135" s="16">
        <f>IF(K135="","—",IF(J135=K135,"MATCH","MISMATCH"))</f>
        <v/>
      </c>
    </row>
    <row r="136" ht="15" customHeight="1">
      <c r="A136" s="20" t="n">
        <v>101</v>
      </c>
      <c r="B136" s="21" t="inlineStr">
        <is>
          <t>Gate 3 — Unauth + unintentional + obligated desc → HIGH</t>
        </is>
      </c>
      <c r="C136" s="22" t="inlineStr">
        <is>
          <t>Unintentional or inadvertent</t>
        </is>
      </c>
      <c r="D136" s="22" t="inlineStr">
        <is>
          <t>Disclosure</t>
        </is>
      </c>
      <c r="E136" s="6" t="inlineStr">
        <is>
          <t>unauthorized</t>
        </is>
      </c>
      <c r="F136" s="22" t="inlineStr">
        <is>
          <t>Business associate or state government agency</t>
        </is>
      </c>
      <c r="G136" s="22" t="inlineStr">
        <is>
          <t>Insufficient or unknown risk mitigation</t>
        </is>
      </c>
      <c r="H136" s="22" t="inlineStr">
        <is>
          <t>Destroyed properly but unsure of backup or copy status</t>
        </is>
      </c>
      <c r="I136" s="20" t="inlineStr">
        <is>
          <t>Gate 3</t>
        </is>
      </c>
      <c r="J136" s="23" t="inlineStr">
        <is>
          <t>HIGH</t>
        </is>
      </c>
      <c r="K136" s="19" t="inlineStr"/>
      <c r="L136" s="20">
        <f>IF(K136="","—",IF(J136=K136,"MATCH","MISMATCH"))</f>
        <v/>
      </c>
    </row>
    <row r="137" ht="15" customHeight="1">
      <c r="A137" s="16" t="n">
        <v>102</v>
      </c>
      <c r="B137" s="17" t="inlineStr">
        <is>
          <t>Gate 3 — Unauth + unintentional + obligated desc → HIGH</t>
        </is>
      </c>
      <c r="C137" s="18" t="inlineStr">
        <is>
          <t>Unintentional or inadvertent</t>
        </is>
      </c>
      <c r="D137" s="18" t="inlineStr">
        <is>
          <t>Disclosure</t>
        </is>
      </c>
      <c r="E137" s="4" t="inlineStr">
        <is>
          <t>unauthorized</t>
        </is>
      </c>
      <c r="F137" s="18" t="inlineStr">
        <is>
          <t>Business associate</t>
        </is>
      </c>
      <c r="G137" s="18" t="inlineStr">
        <is>
          <t>Insufficient or unknown risk mitigation</t>
        </is>
      </c>
      <c r="H137" s="18" t="inlineStr">
        <is>
          <t>Destroyed properly but unsure of backup or copy status</t>
        </is>
      </c>
      <c r="I137" s="16" t="inlineStr">
        <is>
          <t>Gate 3</t>
        </is>
      </c>
      <c r="J137" s="23" t="inlineStr">
        <is>
          <t>HIGH</t>
        </is>
      </c>
      <c r="K137" s="19" t="inlineStr"/>
      <c r="L137" s="16">
        <f>IF(K137="","—",IF(J137=K137,"MATCH","MISMATCH"))</f>
        <v/>
      </c>
    </row>
    <row r="139" ht="15" customHeight="1">
      <c r="A139" s="26" t="inlineStr">
        <is>
          <t>Gate 3 — Unauth + unintentional + other mit → HIGH</t>
        </is>
      </c>
    </row>
    <row r="140" ht="15" customHeight="1">
      <c r="A140" s="20" t="n">
        <v>103</v>
      </c>
      <c r="B140" s="21" t="inlineStr">
        <is>
          <t>Gate 3 — Unauth + unintentional + other mit → HIGH</t>
        </is>
      </c>
      <c r="C140" s="22" t="inlineStr">
        <is>
          <t>Unintentional or inadvertent</t>
        </is>
      </c>
      <c r="D140" s="22" t="inlineStr">
        <is>
          <t>Disclosure</t>
        </is>
      </c>
      <c r="E140" s="6" t="inlineStr">
        <is>
          <t>unauthorized</t>
        </is>
      </c>
      <c r="F140" s="22" t="inlineStr">
        <is>
          <t>Service provider</t>
        </is>
      </c>
      <c r="G140" s="22" t="inlineStr">
        <is>
          <t>Insufficient or unknown risk mitigation</t>
        </is>
      </c>
      <c r="H140" s="22" t="inlineStr">
        <is>
          <t>Destroyed properly but unsure of backup or copy status</t>
        </is>
      </c>
      <c r="I140" s="20" t="inlineStr">
        <is>
          <t>Gate 3</t>
        </is>
      </c>
      <c r="J140" s="23" t="inlineStr">
        <is>
          <t>HIGH</t>
        </is>
      </c>
      <c r="K140" s="19" t="inlineStr"/>
      <c r="L140" s="20">
        <f>IF(K140="","—",IF(J140=K140,"MATCH","MISMATCH"))</f>
        <v/>
      </c>
    </row>
    <row r="141" ht="15" customHeight="1">
      <c r="A141" s="16" t="n">
        <v>104</v>
      </c>
      <c r="B141" s="17" t="inlineStr">
        <is>
          <t>Gate 3 — Unauth + unintentional + other mit → HIGH</t>
        </is>
      </c>
      <c r="C141" s="18" t="inlineStr">
        <is>
          <t>Unintentional or inadvertent</t>
        </is>
      </c>
      <c r="D141" s="18" t="inlineStr">
        <is>
          <t>Disclosure</t>
        </is>
      </c>
      <c r="E141" s="4" t="inlineStr">
        <is>
          <t>unauthorized</t>
        </is>
      </c>
      <c r="F141" s="18" t="inlineStr">
        <is>
          <t>Institutional client</t>
        </is>
      </c>
      <c r="G141" s="18" t="inlineStr">
        <is>
          <t>Insufficient or unknown risk mitigation</t>
        </is>
      </c>
      <c r="H141" s="18" t="inlineStr">
        <is>
          <t>Destroyed properly but unsure of backup or copy status</t>
        </is>
      </c>
      <c r="I141" s="16" t="inlineStr">
        <is>
          <t>Gate 3</t>
        </is>
      </c>
      <c r="J141" s="23" t="inlineStr">
        <is>
          <t>HIGH</t>
        </is>
      </c>
      <c r="K141" s="19" t="inlineStr"/>
      <c r="L141" s="16">
        <f>IF(K141="","—",IF(J141=K141,"MATCH","MISMATCH"))</f>
        <v/>
      </c>
    </row>
    <row r="142" ht="15" customHeight="1">
      <c r="A142" s="20" t="n">
        <v>105</v>
      </c>
      <c r="B142" s="21" t="inlineStr">
        <is>
          <t>Gate 3 — Unauth + unintentional + other mit → HIGH</t>
        </is>
      </c>
      <c r="C142" s="22" t="inlineStr">
        <is>
          <t>Unintentional or inadvertent</t>
        </is>
      </c>
      <c r="D142" s="22" t="inlineStr">
        <is>
          <t>Disclosure</t>
        </is>
      </c>
      <c r="E142" s="6" t="inlineStr">
        <is>
          <t>unauthorized</t>
        </is>
      </c>
      <c r="F142" s="22" t="inlineStr">
        <is>
          <t>Vendor</t>
        </is>
      </c>
      <c r="G142" s="22" t="inlineStr">
        <is>
          <t>Insufficient or unknown risk mitigation</t>
        </is>
      </c>
      <c r="H142" s="22" t="inlineStr">
        <is>
          <t>Destroyed properly but unsure of backup or copy status</t>
        </is>
      </c>
      <c r="I142" s="20" t="inlineStr">
        <is>
          <t>Gate 3</t>
        </is>
      </c>
      <c r="J142" s="23" t="inlineStr">
        <is>
          <t>HIGH</t>
        </is>
      </c>
      <c r="K142" s="19" t="inlineStr"/>
      <c r="L142" s="20">
        <f>IF(K142="","—",IF(J142=K142,"MATCH","MISMATCH"))</f>
        <v/>
      </c>
    </row>
    <row r="144" ht="14" customHeight="1">
      <c r="A144" s="24" t="inlineStr">
        <is>
          <t>Instructions: Run each case in RadarFirst (Paper · Redacted). Enter result in col K. Col L auto-calculates MATCH/MISMATCH.</t>
        </is>
      </c>
    </row>
  </sheetData>
  <mergeCells count="33">
    <mergeCell ref="A99:L99"/>
    <mergeCell ref="A89:L89"/>
    <mergeCell ref="A56:L56"/>
    <mergeCell ref="A139:L139"/>
    <mergeCell ref="A104:L104"/>
    <mergeCell ref="A129:L129"/>
    <mergeCell ref="A85:L85"/>
    <mergeCell ref="A14:L14"/>
    <mergeCell ref="A144:L144"/>
    <mergeCell ref="A109:L109"/>
    <mergeCell ref="A4:L4"/>
    <mergeCell ref="A81:L81"/>
    <mergeCell ref="A72:L72"/>
    <mergeCell ref="A29:L29"/>
    <mergeCell ref="A134:L134"/>
    <mergeCell ref="A43:L43"/>
    <mergeCell ref="A19:L19"/>
    <mergeCell ref="A63:L63"/>
    <mergeCell ref="A68:L68"/>
    <mergeCell ref="A9:L9"/>
    <mergeCell ref="A39:L39"/>
    <mergeCell ref="A77:L77"/>
    <mergeCell ref="A34:L34"/>
    <mergeCell ref="A59:L59"/>
    <mergeCell ref="A48:L48"/>
    <mergeCell ref="A114:L114"/>
    <mergeCell ref="A24:L24"/>
    <mergeCell ref="A51:L51"/>
    <mergeCell ref="A1:L1"/>
    <mergeCell ref="A94:L94"/>
    <mergeCell ref="A119:L119"/>
    <mergeCell ref="A124:L124"/>
    <mergeCell ref="A2: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6" customWidth="1" min="3" max="3"/>
    <col width="32" customWidth="1" min="4" max="4"/>
    <col width="14" customWidth="1" min="5" max="5"/>
    <col width="38" customWidth="1" min="6" max="6"/>
    <col width="28" customWidth="1" min="7" max="7"/>
    <col width="52" customWidth="1" min="8" max="8"/>
    <col width="10" customWidth="1" min="9" max="9"/>
    <col width="14" customWidth="1" min="10" max="10"/>
    <col width="18" customWidth="1" min="11" max="11"/>
    <col width="10" customWidth="1" min="12" max="12"/>
  </cols>
  <sheetData>
    <row r="1" ht="22" customHeight="1">
      <c r="A1" s="12" t="inlineStr">
        <is>
          <t>Paper · Under physical safeguard — Untested cases for Radar verification  |  v13 Prediction col K · Enter Radar result col L · Match auto-calculates col M</t>
        </is>
      </c>
    </row>
    <row r="2" ht="16" customHeight="1">
      <c r="A2" s="28" t="inlineStr">
        <is>
          <t>81 cases  ·  Category = Paper  ·  Under physical safeguard  ·  13 EXTREME  ·  24 HIGH  ·  20 LOW  ·  24 MODERATE</t>
        </is>
      </c>
    </row>
    <row r="3" ht="28" customHeight="1">
      <c r="A3" s="14" t="inlineStr">
        <is>
          <t>#</t>
        </is>
      </c>
      <c r="B3" s="14" t="inlineStr">
        <is>
          <t>Decision Path</t>
        </is>
      </c>
      <c r="C3" s="14" t="inlineStr">
        <is>
          <t>Incident Nature</t>
        </is>
      </c>
      <c r="D3" s="14" t="inlineStr">
        <is>
          <t>Compromise</t>
        </is>
      </c>
      <c r="E3" s="14" t="inlineStr">
        <is>
          <t>Recipient Type</t>
        </is>
      </c>
      <c r="F3" s="14" t="inlineStr">
        <is>
          <t>Recipient Description</t>
        </is>
      </c>
      <c r="G3" s="14" t="inlineStr">
        <is>
          <t>Disposition</t>
        </is>
      </c>
      <c r="H3" s="14" t="inlineStr">
        <is>
          <t>Mitigation</t>
        </is>
      </c>
      <c r="I3" s="14" t="inlineStr">
        <is>
          <t>Gate</t>
        </is>
      </c>
      <c r="J3" s="14" t="inlineStr">
        <is>
          <t>v13 Prediction</t>
        </is>
      </c>
      <c r="K3" s="14" t="inlineStr">
        <is>
          <t>Radar Result
(enter here)</t>
        </is>
      </c>
      <c r="L3" s="14" t="inlineStr">
        <is>
          <t>Match</t>
        </is>
      </c>
    </row>
    <row r="4" ht="15" customHeight="1">
      <c r="A4" s="29" t="inlineStr">
        <is>
          <t>Gate 1a — Backup + unauthorized + malicious → HIGH</t>
        </is>
      </c>
    </row>
    <row r="5" ht="15" customHeight="1">
      <c r="A5" s="16" t="n">
        <v>106</v>
      </c>
      <c r="B5" s="17" t="inlineStr">
        <is>
          <t>Gate 1a — Backup + unauthorized + malicious → HIGH</t>
        </is>
      </c>
      <c r="C5" s="18" t="inlineStr">
        <is>
          <t>Intentional, malicious</t>
        </is>
      </c>
      <c r="D5" s="18" t="inlineStr">
        <is>
          <t>Hacking or malware other than ransomware</t>
        </is>
      </c>
      <c r="E5" s="4" t="inlineStr">
        <is>
          <t>unauthorized</t>
        </is>
      </c>
      <c r="F5" s="18" t="inlineStr">
        <is>
          <t>Covered entity</t>
        </is>
      </c>
      <c r="G5" s="18" t="inlineStr">
        <is>
          <t>Sufficient risk mitigation</t>
        </is>
      </c>
      <c r="H5" s="18" t="inlineStr">
        <is>
          <t>Recovered or restored from backup without high risk to data integrity or availability</t>
        </is>
      </c>
      <c r="I5" s="16" t="inlineStr">
        <is>
          <t>Gate 1a</t>
        </is>
      </c>
      <c r="J5" s="23" t="inlineStr">
        <is>
          <t>HIGH</t>
        </is>
      </c>
      <c r="K5" s="19" t="inlineStr"/>
      <c r="L5" s="16">
        <f>IF(K5="","—",IF(J5=K5,"MATCH","MISMATCH"))</f>
        <v/>
      </c>
    </row>
    <row r="6" ht="15" customHeight="1">
      <c r="A6" s="20" t="n">
        <v>107</v>
      </c>
      <c r="B6" s="21" t="inlineStr">
        <is>
          <t>Gate 1a — Backup + unauthorized + malicious → HIGH</t>
        </is>
      </c>
      <c r="C6" s="22" t="inlineStr">
        <is>
          <t>Intentional, malicious</t>
        </is>
      </c>
      <c r="D6" s="22" t="inlineStr">
        <is>
          <t>Hacking or malware other than ransomware</t>
        </is>
      </c>
      <c r="E6" s="6" t="inlineStr">
        <is>
          <t>unauthorized</t>
        </is>
      </c>
      <c r="F6" s="22" t="inlineStr">
        <is>
          <t>Business associate or state government agency</t>
        </is>
      </c>
      <c r="G6" s="22" t="inlineStr">
        <is>
          <t>Sufficient risk mitigation</t>
        </is>
      </c>
      <c r="H6" s="22" t="inlineStr">
        <is>
          <t>Recovered or restored from backup without high risk to data integrity or availability</t>
        </is>
      </c>
      <c r="I6" s="20" t="inlineStr">
        <is>
          <t>Gate 1a</t>
        </is>
      </c>
      <c r="J6" s="23" t="inlineStr">
        <is>
          <t>HIGH</t>
        </is>
      </c>
      <c r="K6" s="19" t="inlineStr"/>
      <c r="L6" s="20">
        <f>IF(K6="","—",IF(J6=K6,"MATCH","MISMATCH"))</f>
        <v/>
      </c>
    </row>
    <row r="7" ht="15" customHeight="1">
      <c r="A7" s="16" t="n">
        <v>108</v>
      </c>
      <c r="B7" s="17" t="inlineStr">
        <is>
          <t>Gate 1a — Backup + unauthorized + malicious → HIGH</t>
        </is>
      </c>
      <c r="C7" s="18" t="inlineStr">
        <is>
          <t>Intentional, malicious</t>
        </is>
      </c>
      <c r="D7" s="18" t="inlineStr">
        <is>
          <t>Hacking or malware other than ransomware</t>
        </is>
      </c>
      <c r="E7" s="4" t="inlineStr">
        <is>
          <t>unauthorized</t>
        </is>
      </c>
      <c r="F7" s="18" t="inlineStr">
        <is>
          <t>Business associate</t>
        </is>
      </c>
      <c r="G7" s="18" t="inlineStr">
        <is>
          <t>Sufficient risk mitigation</t>
        </is>
      </c>
      <c r="H7" s="18" t="inlineStr">
        <is>
          <t>Recovered or restored from backup without high risk to data integrity or availability</t>
        </is>
      </c>
      <c r="I7" s="16" t="inlineStr">
        <is>
          <t>Gate 1a</t>
        </is>
      </c>
      <c r="J7" s="23" t="inlineStr">
        <is>
          <t>HIGH</t>
        </is>
      </c>
      <c r="K7" s="19" t="inlineStr"/>
      <c r="L7" s="16">
        <f>IF(K7="","—",IF(J7=K7,"MATCH","MISMATCH"))</f>
        <v/>
      </c>
    </row>
    <row r="9" ht="15" customHeight="1">
      <c r="A9" s="29" t="inlineStr">
        <is>
          <t>Gate 1a — Backup + unauthorized + not-malicious → MOD</t>
        </is>
      </c>
    </row>
    <row r="10" ht="15" customHeight="1">
      <c r="A10" s="20" t="n">
        <v>109</v>
      </c>
      <c r="B10" s="21" t="inlineStr">
        <is>
          <t>Gate 1a — Backup + unauthorized + not-malicious → MOD</t>
        </is>
      </c>
      <c r="C10" s="22" t="inlineStr">
        <is>
          <t>Intentional, not malicious</t>
        </is>
      </c>
      <c r="D10" s="22" t="inlineStr">
        <is>
          <t>Unauthorized use</t>
        </is>
      </c>
      <c r="E10" s="6" t="inlineStr">
        <is>
          <t>unauthorized</t>
        </is>
      </c>
      <c r="F10" s="22" t="inlineStr">
        <is>
          <t>Covered entity</t>
        </is>
      </c>
      <c r="G10" s="22" t="inlineStr">
        <is>
          <t>Sufficient risk mitigation</t>
        </is>
      </c>
      <c r="H10" s="22" t="inlineStr">
        <is>
          <t>Recovered or restored from backup without high risk to data integrity or availability</t>
        </is>
      </c>
      <c r="I10" s="20" t="inlineStr">
        <is>
          <t>Gate 1a</t>
        </is>
      </c>
      <c r="J10" s="19" t="inlineStr">
        <is>
          <t>MODERATE</t>
        </is>
      </c>
      <c r="K10" s="19" t="inlineStr"/>
      <c r="L10" s="20">
        <f>IF(K10="","—",IF(J10=K10,"MATCH","MISMATCH"))</f>
        <v/>
      </c>
    </row>
    <row r="11" ht="15" customHeight="1">
      <c r="A11" s="16" t="n">
        <v>110</v>
      </c>
      <c r="B11" s="17" t="inlineStr">
        <is>
          <t>Gate 1a — Backup + unauthorized + not-malicious → MOD</t>
        </is>
      </c>
      <c r="C11" s="18" t="inlineStr">
        <is>
          <t>Intentional, not malicious</t>
        </is>
      </c>
      <c r="D11" s="18" t="inlineStr">
        <is>
          <t>Unauthorized use</t>
        </is>
      </c>
      <c r="E11" s="4" t="inlineStr">
        <is>
          <t>unauthorized</t>
        </is>
      </c>
      <c r="F11" s="18" t="inlineStr">
        <is>
          <t>Business associate or state government agency</t>
        </is>
      </c>
      <c r="G11" s="18" t="inlineStr">
        <is>
          <t>Sufficient risk mitigation</t>
        </is>
      </c>
      <c r="H11" s="18" t="inlineStr">
        <is>
          <t>Recovered or restored from backup without high risk to data integrity or availability</t>
        </is>
      </c>
      <c r="I11" s="16" t="inlineStr">
        <is>
          <t>Gate 1a</t>
        </is>
      </c>
      <c r="J11" s="19" t="inlineStr">
        <is>
          <t>MODERATE</t>
        </is>
      </c>
      <c r="K11" s="19" t="inlineStr"/>
      <c r="L11" s="16">
        <f>IF(K11="","—",IF(J11=K11,"MATCH","MISMATCH"))</f>
        <v/>
      </c>
    </row>
    <row r="12" ht="15" customHeight="1">
      <c r="A12" s="20" t="n">
        <v>111</v>
      </c>
      <c r="B12" s="21" t="inlineStr">
        <is>
          <t>Gate 1a — Backup + unauthorized + not-malicious → MOD</t>
        </is>
      </c>
      <c r="C12" s="22" t="inlineStr">
        <is>
          <t>Intentional, not malicious</t>
        </is>
      </c>
      <c r="D12" s="22" t="inlineStr">
        <is>
          <t>Unauthorized use</t>
        </is>
      </c>
      <c r="E12" s="6" t="inlineStr">
        <is>
          <t>unauthorized</t>
        </is>
      </c>
      <c r="F12" s="22" t="inlineStr">
        <is>
          <t>Business associate</t>
        </is>
      </c>
      <c r="G12" s="22" t="inlineStr">
        <is>
          <t>Sufficient risk mitigation</t>
        </is>
      </c>
      <c r="H12" s="22" t="inlineStr">
        <is>
          <t>Recovered or restored from backup without high risk to data integrity or availability</t>
        </is>
      </c>
      <c r="I12" s="20" t="inlineStr">
        <is>
          <t>Gate 1a</t>
        </is>
      </c>
      <c r="J12" s="19" t="inlineStr">
        <is>
          <t>MODERATE</t>
        </is>
      </c>
      <c r="K12" s="19" t="inlineStr"/>
      <c r="L12" s="20">
        <f>IF(K12="","—",IF(J12=K12,"MATCH","MISMATCH"))</f>
        <v/>
      </c>
    </row>
    <row r="14" ht="15" customHeight="1">
      <c r="A14" s="29" t="inlineStr">
        <is>
          <t>Gate 1a — Backup + unauthorized + unintentional → LOW</t>
        </is>
      </c>
    </row>
    <row r="15" ht="15" customHeight="1">
      <c r="A15" s="16" t="n">
        <v>112</v>
      </c>
      <c r="B15" s="17" t="inlineStr">
        <is>
          <t>Gate 1a — Backup + unauthorized + unintentional → LOW</t>
        </is>
      </c>
      <c r="C15" s="18" t="inlineStr">
        <is>
          <t>Unintentional or inadvertent</t>
        </is>
      </c>
      <c r="D15" s="18" t="inlineStr">
        <is>
          <t>Disclosure</t>
        </is>
      </c>
      <c r="E15" s="4" t="inlineStr">
        <is>
          <t>unauthorized</t>
        </is>
      </c>
      <c r="F15" s="18" t="inlineStr">
        <is>
          <t>Covered entity</t>
        </is>
      </c>
      <c r="G15" s="18" t="inlineStr">
        <is>
          <t>Sufficient risk mitigation</t>
        </is>
      </c>
      <c r="H15" s="18" t="inlineStr">
        <is>
          <t>Recovered or restored from backup without high risk to data integrity or availability</t>
        </is>
      </c>
      <c r="I15" s="16" t="inlineStr">
        <is>
          <t>Gate 1a</t>
        </is>
      </c>
      <c r="J15" s="19" t="inlineStr">
        <is>
          <t>MODERATE</t>
        </is>
      </c>
      <c r="K15" s="19" t="inlineStr"/>
      <c r="L15" s="16">
        <f>IF(K15="","—",IF(J15=K15,"MATCH","MISMATCH"))</f>
        <v/>
      </c>
    </row>
    <row r="16" ht="15" customHeight="1">
      <c r="A16" s="20" t="n">
        <v>113</v>
      </c>
      <c r="B16" s="21" t="inlineStr">
        <is>
          <t>Gate 1a — Backup + unauthorized + unintentional → LOW</t>
        </is>
      </c>
      <c r="C16" s="22" t="inlineStr">
        <is>
          <t>Unintentional or inadvertent</t>
        </is>
      </c>
      <c r="D16" s="22" t="inlineStr">
        <is>
          <t>Disclosure</t>
        </is>
      </c>
      <c r="E16" s="6" t="inlineStr">
        <is>
          <t>unauthorized</t>
        </is>
      </c>
      <c r="F16" s="22" t="inlineStr">
        <is>
          <t>Business associate or state government agency</t>
        </is>
      </c>
      <c r="G16" s="22" t="inlineStr">
        <is>
          <t>Sufficient risk mitigation</t>
        </is>
      </c>
      <c r="H16" s="22" t="inlineStr">
        <is>
          <t>Recovered or restored from backup without high risk to data integrity or availability</t>
        </is>
      </c>
      <c r="I16" s="20" t="inlineStr">
        <is>
          <t>Gate 1a</t>
        </is>
      </c>
      <c r="J16" s="19" t="inlineStr">
        <is>
          <t>MODERATE</t>
        </is>
      </c>
      <c r="K16" s="19" t="inlineStr"/>
      <c r="L16" s="20">
        <f>IF(K16="","—",IF(J16=K16,"MATCH","MISMATCH"))</f>
        <v/>
      </c>
    </row>
    <row r="17" ht="15" customHeight="1">
      <c r="A17" s="16" t="n">
        <v>114</v>
      </c>
      <c r="B17" s="17" t="inlineStr">
        <is>
          <t>Gate 1a — Backup + unauthorized + unintentional → LOW</t>
        </is>
      </c>
      <c r="C17" s="18" t="inlineStr">
        <is>
          <t>Unintentional or inadvertent</t>
        </is>
      </c>
      <c r="D17" s="18" t="inlineStr">
        <is>
          <t>Disclosure</t>
        </is>
      </c>
      <c r="E17" s="4" t="inlineStr">
        <is>
          <t>unauthorized</t>
        </is>
      </c>
      <c r="F17" s="18" t="inlineStr">
        <is>
          <t>Business associate</t>
        </is>
      </c>
      <c r="G17" s="18" t="inlineStr">
        <is>
          <t>Sufficient risk mitigation</t>
        </is>
      </c>
      <c r="H17" s="18" t="inlineStr">
        <is>
          <t>Recovered or restored from backup without high risk to data integrity or availability</t>
        </is>
      </c>
      <c r="I17" s="16" t="inlineStr">
        <is>
          <t>Gate 1a</t>
        </is>
      </c>
      <c r="J17" s="19" t="inlineStr">
        <is>
          <t>MODERATE</t>
        </is>
      </c>
      <c r="K17" s="19" t="inlineStr"/>
      <c r="L17" s="16">
        <f>IF(K17="","—",IF(J17=K17,"MATCH","MISMATCH"))</f>
        <v/>
      </c>
    </row>
    <row r="19" ht="15" customHeight="1">
      <c r="A19" s="29" t="inlineStr">
        <is>
          <t>Gate 1a — Confirmed safe (authorized)</t>
        </is>
      </c>
    </row>
    <row r="20" ht="15" customHeight="1">
      <c r="A20" s="20" t="n">
        <v>115</v>
      </c>
      <c r="B20" s="21" t="inlineStr">
        <is>
          <t>Gate 1a — Confirmed safe (authorized)</t>
        </is>
      </c>
      <c r="C20" s="22" t="inlineStr">
        <is>
          <t>Intentional, malicious</t>
        </is>
      </c>
      <c r="D20" s="22" t="inlineStr">
        <is>
          <t>Hacking or malware other than ransomware</t>
        </is>
      </c>
      <c r="E20" s="6" t="inlineStr">
        <is>
          <t>authorized</t>
        </is>
      </c>
      <c r="F20" s="22" t="inlineStr">
        <is>
          <t>Covered entity</t>
        </is>
      </c>
      <c r="G20" s="22" t="inlineStr">
        <is>
          <t>Sufficient risk mitigation</t>
        </is>
      </c>
      <c r="H20" s="22" t="inlineStr">
        <is>
          <t>Recipient had the opportunity, but did not view, access, transfer, or use the data (unopened returned mail)</t>
        </is>
      </c>
      <c r="I20" s="20" t="inlineStr">
        <is>
          <t>Gate 1a</t>
        </is>
      </c>
      <c r="J20" s="8" t="inlineStr">
        <is>
          <t>LOW</t>
        </is>
      </c>
      <c r="K20" s="19" t="inlineStr"/>
      <c r="L20" s="20">
        <f>IF(K20="","—",IF(J20=K20,"MATCH","MISMATCH"))</f>
        <v/>
      </c>
    </row>
    <row r="21" ht="15" customHeight="1">
      <c r="A21" s="16" t="n">
        <v>116</v>
      </c>
      <c r="B21" s="17" t="inlineStr">
        <is>
          <t>Gate 1a — Confirmed safe (authorized)</t>
        </is>
      </c>
      <c r="C21" s="18" t="inlineStr">
        <is>
          <t>Intentional, malicious</t>
        </is>
      </c>
      <c r="D21" s="18" t="inlineStr">
        <is>
          <t>Hacking or malware other than ransomware</t>
        </is>
      </c>
      <c r="E21" s="4" t="inlineStr">
        <is>
          <t>authorized</t>
        </is>
      </c>
      <c r="F21" s="18" t="inlineStr">
        <is>
          <t>Business associate</t>
        </is>
      </c>
      <c r="G21" s="18" t="inlineStr">
        <is>
          <t>Sufficient risk mitigation</t>
        </is>
      </c>
      <c r="H21" s="18" t="inlineStr">
        <is>
          <t>Recipient had the opportunity, but did not view, access, transfer, or use the data (unopened returned mail)</t>
        </is>
      </c>
      <c r="I21" s="16" t="inlineStr">
        <is>
          <t>Gate 1a</t>
        </is>
      </c>
      <c r="J21" s="8" t="inlineStr">
        <is>
          <t>LOW</t>
        </is>
      </c>
      <c r="K21" s="19" t="inlineStr"/>
      <c r="L21" s="16">
        <f>IF(K21="","—",IF(J21=K21,"MATCH","MISMATCH"))</f>
        <v/>
      </c>
    </row>
    <row r="22" ht="15" customHeight="1">
      <c r="A22" s="20" t="n">
        <v>117</v>
      </c>
      <c r="B22" s="21" t="inlineStr">
        <is>
          <t>Gate 1a — Confirmed safe (authorized)</t>
        </is>
      </c>
      <c r="C22" s="22" t="inlineStr">
        <is>
          <t>Intentional, malicious</t>
        </is>
      </c>
      <c r="D22" s="22" t="inlineStr">
        <is>
          <t>Hacking or malware other than ransomware</t>
        </is>
      </c>
      <c r="E22" s="6" t="inlineStr">
        <is>
          <t>authorized</t>
        </is>
      </c>
      <c r="F22" s="22" t="inlineStr">
        <is>
          <t>Service provider</t>
        </is>
      </c>
      <c r="G22" s="22" t="inlineStr">
        <is>
          <t>Sufficient risk mitigation</t>
        </is>
      </c>
      <c r="H22" s="22" t="inlineStr">
        <is>
          <t>Recipient had the opportunity, but did not view, access, transfer, or use the data (unopened returned mail)</t>
        </is>
      </c>
      <c r="I22" s="20" t="inlineStr">
        <is>
          <t>Gate 1a</t>
        </is>
      </c>
      <c r="J22" s="8" t="inlineStr">
        <is>
          <t>LOW</t>
        </is>
      </c>
      <c r="K22" s="19" t="inlineStr"/>
      <c r="L22" s="20">
        <f>IF(K22="","—",IF(J22=K22,"MATCH","MISMATCH"))</f>
        <v/>
      </c>
    </row>
    <row r="24" ht="15" customHeight="1">
      <c r="A24" s="29" t="inlineStr">
        <is>
          <t>Gate 1a — Forensic + unauthorized → LOW</t>
        </is>
      </c>
    </row>
    <row r="25" ht="15" customHeight="1">
      <c r="A25" s="16" t="n">
        <v>118</v>
      </c>
      <c r="B25" s="17" t="inlineStr">
        <is>
          <t>Gate 1a — Forensic + unauthorized → LOW</t>
        </is>
      </c>
      <c r="C25" s="18" t="inlineStr">
        <is>
          <t>Intentional, malicious</t>
        </is>
      </c>
      <c r="D25" s="18" t="inlineStr">
        <is>
          <t>Hacking or malware other than ransomware</t>
        </is>
      </c>
      <c r="E25" s="4" t="inlineStr">
        <is>
          <t>unauthorized</t>
        </is>
      </c>
      <c r="F25" s="18" t="inlineStr">
        <is>
          <t>Covered entity</t>
        </is>
      </c>
      <c r="G25" s="18" t="inlineStr">
        <is>
          <t>Sufficient risk mitigation</t>
        </is>
      </c>
      <c r="H25" s="18" t="inlineStr">
        <is>
          <t>Forensic analysis concluded that regulated data was not compromised</t>
        </is>
      </c>
      <c r="I25" s="16" t="inlineStr">
        <is>
          <t>Gate 1a</t>
        </is>
      </c>
      <c r="J25" s="8" t="inlineStr">
        <is>
          <t>LOW</t>
        </is>
      </c>
      <c r="K25" s="19" t="inlineStr"/>
      <c r="L25" s="16">
        <f>IF(K25="","—",IF(J25=K25,"MATCH","MISMATCH"))</f>
        <v/>
      </c>
    </row>
    <row r="26" ht="15" customHeight="1">
      <c r="A26" s="20" t="n">
        <v>119</v>
      </c>
      <c r="B26" s="21" t="inlineStr">
        <is>
          <t>Gate 1a — Forensic + unauthorized → LOW</t>
        </is>
      </c>
      <c r="C26" s="22" t="inlineStr">
        <is>
          <t>Intentional, malicious</t>
        </is>
      </c>
      <c r="D26" s="22" t="inlineStr">
        <is>
          <t>Hacking or malware other than ransomware</t>
        </is>
      </c>
      <c r="E26" s="6" t="inlineStr">
        <is>
          <t>unauthorized</t>
        </is>
      </c>
      <c r="F26" s="22" t="inlineStr">
        <is>
          <t>Business associate or state government agency</t>
        </is>
      </c>
      <c r="G26" s="22" t="inlineStr">
        <is>
          <t>Sufficient risk mitigation</t>
        </is>
      </c>
      <c r="H26" s="22" t="inlineStr">
        <is>
          <t>Forensic analysis concluded that regulated data was not compromised</t>
        </is>
      </c>
      <c r="I26" s="20" t="inlineStr">
        <is>
          <t>Gate 1a</t>
        </is>
      </c>
      <c r="J26" s="8" t="inlineStr">
        <is>
          <t>LOW</t>
        </is>
      </c>
      <c r="K26" s="19" t="inlineStr"/>
      <c r="L26" s="20">
        <f>IF(K26="","—",IF(J26=K26,"MATCH","MISMATCH"))</f>
        <v/>
      </c>
    </row>
    <row r="27" ht="15" customHeight="1">
      <c r="A27" s="16" t="n">
        <v>120</v>
      </c>
      <c r="B27" s="17" t="inlineStr">
        <is>
          <t>Gate 1a — Forensic + unauthorized → LOW</t>
        </is>
      </c>
      <c r="C27" s="18" t="inlineStr">
        <is>
          <t>Intentional, malicious</t>
        </is>
      </c>
      <c r="D27" s="18" t="inlineStr">
        <is>
          <t>Hacking or malware other than ransomware</t>
        </is>
      </c>
      <c r="E27" s="4" t="inlineStr">
        <is>
          <t>unauthorized</t>
        </is>
      </c>
      <c r="F27" s="18" t="inlineStr">
        <is>
          <t>Business associate</t>
        </is>
      </c>
      <c r="G27" s="18" t="inlineStr">
        <is>
          <t>Sufficient risk mitigation</t>
        </is>
      </c>
      <c r="H27" s="18" t="inlineStr">
        <is>
          <t>Forensic analysis concluded that regulated data was not compromised</t>
        </is>
      </c>
      <c r="I27" s="16" t="inlineStr">
        <is>
          <t>Gate 1a</t>
        </is>
      </c>
      <c r="J27" s="8" t="inlineStr">
        <is>
          <t>LOW</t>
        </is>
      </c>
      <c r="K27" s="19" t="inlineStr"/>
      <c r="L27" s="16">
        <f>IF(K27="","—",IF(J27=K27,"MATCH","MISMATCH"))</f>
        <v/>
      </c>
    </row>
    <row r="29" ht="15" customHeight="1">
      <c r="A29" s="29" t="inlineStr">
        <is>
          <t>Gate 1a — No-retain + unauthorized + malicious → MOD</t>
        </is>
      </c>
    </row>
    <row r="30" ht="15" customHeight="1">
      <c r="A30" s="20" t="n">
        <v>121</v>
      </c>
      <c r="B30" s="21" t="inlineStr">
        <is>
          <t>Gate 1a — No-retain + unauthorized + malicious → MOD</t>
        </is>
      </c>
      <c r="C30" s="22" t="inlineStr">
        <is>
          <t>Intentional, malicious</t>
        </is>
      </c>
      <c r="D30" s="22" t="inlineStr">
        <is>
          <t>Hacking or malware other than ransomware</t>
        </is>
      </c>
      <c r="E30" s="6" t="inlineStr">
        <is>
          <t>unauthorized</t>
        </is>
      </c>
      <c r="F30" s="22" t="inlineStr">
        <is>
          <t>Covered entity</t>
        </is>
      </c>
      <c r="G30" s="22" t="inlineStr">
        <is>
          <t>Sufficient risk mitigation</t>
        </is>
      </c>
      <c r="H30" s="22" t="inlineStr">
        <is>
          <t>Recipient could not reasonably retain the data</t>
        </is>
      </c>
      <c r="I30" s="20" t="inlineStr">
        <is>
          <t>Gate 1a</t>
        </is>
      </c>
      <c r="J30" s="19" t="inlineStr">
        <is>
          <t>MODERATE</t>
        </is>
      </c>
      <c r="K30" s="19" t="inlineStr"/>
      <c r="L30" s="20">
        <f>IF(K30="","—",IF(J30=K30,"MATCH","MISMATCH"))</f>
        <v/>
      </c>
    </row>
    <row r="31" ht="15" customHeight="1">
      <c r="A31" s="16" t="n">
        <v>122</v>
      </c>
      <c r="B31" s="17" t="inlineStr">
        <is>
          <t>Gate 1a — No-retain + unauthorized + malicious → MOD</t>
        </is>
      </c>
      <c r="C31" s="18" t="inlineStr">
        <is>
          <t>Intentional, malicious</t>
        </is>
      </c>
      <c r="D31" s="18" t="inlineStr">
        <is>
          <t>Hacking or malware other than ransomware</t>
        </is>
      </c>
      <c r="E31" s="4" t="inlineStr">
        <is>
          <t>unauthorized</t>
        </is>
      </c>
      <c r="F31" s="18" t="inlineStr">
        <is>
          <t>Business associate or state government agency</t>
        </is>
      </c>
      <c r="G31" s="18" t="inlineStr">
        <is>
          <t>Sufficient risk mitigation</t>
        </is>
      </c>
      <c r="H31" s="18" t="inlineStr">
        <is>
          <t>Recipient could not reasonably retain the data</t>
        </is>
      </c>
      <c r="I31" s="16" t="inlineStr">
        <is>
          <t>Gate 1a</t>
        </is>
      </c>
      <c r="J31" s="19" t="inlineStr">
        <is>
          <t>MODERATE</t>
        </is>
      </c>
      <c r="K31" s="19" t="inlineStr"/>
      <c r="L31" s="16">
        <f>IF(K31="","—",IF(J31=K31,"MATCH","MISMATCH"))</f>
        <v/>
      </c>
    </row>
    <row r="32" ht="15" customHeight="1">
      <c r="A32" s="20" t="n">
        <v>123</v>
      </c>
      <c r="B32" s="21" t="inlineStr">
        <is>
          <t>Gate 1a — No-retain + unauthorized + malicious → MOD</t>
        </is>
      </c>
      <c r="C32" s="22" t="inlineStr">
        <is>
          <t>Intentional, malicious</t>
        </is>
      </c>
      <c r="D32" s="22" t="inlineStr">
        <is>
          <t>Hacking or malware other than ransomware</t>
        </is>
      </c>
      <c r="E32" s="6" t="inlineStr">
        <is>
          <t>unauthorized</t>
        </is>
      </c>
      <c r="F32" s="22" t="inlineStr">
        <is>
          <t>Business associate</t>
        </is>
      </c>
      <c r="G32" s="22" t="inlineStr">
        <is>
          <t>Sufficient risk mitigation</t>
        </is>
      </c>
      <c r="H32" s="22" t="inlineStr">
        <is>
          <t>Recipient could not reasonably retain the data</t>
        </is>
      </c>
      <c r="I32" s="20" t="inlineStr">
        <is>
          <t>Gate 1a</t>
        </is>
      </c>
      <c r="J32" s="19" t="inlineStr">
        <is>
          <t>MODERATE</t>
        </is>
      </c>
      <c r="K32" s="19" t="inlineStr"/>
      <c r="L32" s="20">
        <f>IF(K32="","—",IF(J32=K32,"MATCH","MISMATCH"))</f>
        <v/>
      </c>
    </row>
    <row r="34" ht="15" customHeight="1">
      <c r="A34" s="29" t="inlineStr">
        <is>
          <t>Gate 1a — No-retain + unauthorized + not-malicious → LOW</t>
        </is>
      </c>
    </row>
    <row r="35" ht="15" customHeight="1">
      <c r="A35" s="16" t="n">
        <v>124</v>
      </c>
      <c r="B35" s="17" t="inlineStr">
        <is>
          <t>Gate 1a — No-retain + unauthorized + not-malicious → LOW</t>
        </is>
      </c>
      <c r="C35" s="18" t="inlineStr">
        <is>
          <t>Intentional, not malicious</t>
        </is>
      </c>
      <c r="D35" s="18" t="inlineStr">
        <is>
          <t>Unauthorized use</t>
        </is>
      </c>
      <c r="E35" s="4" t="inlineStr">
        <is>
          <t>unauthorized</t>
        </is>
      </c>
      <c r="F35" s="18" t="inlineStr">
        <is>
          <t>Covered entity</t>
        </is>
      </c>
      <c r="G35" s="18" t="inlineStr">
        <is>
          <t>Sufficient risk mitigation</t>
        </is>
      </c>
      <c r="H35" s="18" t="inlineStr">
        <is>
          <t>Recipient could not reasonably retain the data</t>
        </is>
      </c>
      <c r="I35" s="16" t="inlineStr">
        <is>
          <t>Gate 1a</t>
        </is>
      </c>
      <c r="J35" s="8" t="inlineStr">
        <is>
          <t>LOW</t>
        </is>
      </c>
      <c r="K35" s="19" t="inlineStr"/>
      <c r="L35" s="16">
        <f>IF(K35="","—",IF(J35=K35,"MATCH","MISMATCH"))</f>
        <v/>
      </c>
    </row>
    <row r="36" ht="15" customHeight="1">
      <c r="A36" s="20" t="n">
        <v>125</v>
      </c>
      <c r="B36" s="21" t="inlineStr">
        <is>
          <t>Gate 1a — No-retain + unauthorized + not-malicious → LOW</t>
        </is>
      </c>
      <c r="C36" s="22" t="inlineStr">
        <is>
          <t>Intentional, not malicious</t>
        </is>
      </c>
      <c r="D36" s="22" t="inlineStr">
        <is>
          <t>Unauthorized use</t>
        </is>
      </c>
      <c r="E36" s="6" t="inlineStr">
        <is>
          <t>unauthorized</t>
        </is>
      </c>
      <c r="F36" s="22" t="inlineStr">
        <is>
          <t>Business associate or state government agency</t>
        </is>
      </c>
      <c r="G36" s="22" t="inlineStr">
        <is>
          <t>Sufficient risk mitigation</t>
        </is>
      </c>
      <c r="H36" s="22" t="inlineStr">
        <is>
          <t>Recipient could not reasonably retain the data</t>
        </is>
      </c>
      <c r="I36" s="20" t="inlineStr">
        <is>
          <t>Gate 1a</t>
        </is>
      </c>
      <c r="J36" s="8" t="inlineStr">
        <is>
          <t>LOW</t>
        </is>
      </c>
      <c r="K36" s="19" t="inlineStr"/>
      <c r="L36" s="20">
        <f>IF(K36="","—",IF(J36=K36,"MATCH","MISMATCH"))</f>
        <v/>
      </c>
    </row>
    <row r="37" ht="15" customHeight="1">
      <c r="A37" s="16" t="n">
        <v>126</v>
      </c>
      <c r="B37" s="17" t="inlineStr">
        <is>
          <t>Gate 1a — No-retain + unauthorized + not-malicious → LOW</t>
        </is>
      </c>
      <c r="C37" s="18" t="inlineStr">
        <is>
          <t>Intentional, not malicious</t>
        </is>
      </c>
      <c r="D37" s="18" t="inlineStr">
        <is>
          <t>Unauthorized use</t>
        </is>
      </c>
      <c r="E37" s="4" t="inlineStr">
        <is>
          <t>unauthorized</t>
        </is>
      </c>
      <c r="F37" s="18" t="inlineStr">
        <is>
          <t>Business associate</t>
        </is>
      </c>
      <c r="G37" s="18" t="inlineStr">
        <is>
          <t>Sufficient risk mitigation</t>
        </is>
      </c>
      <c r="H37" s="18" t="inlineStr">
        <is>
          <t>Recipient could not reasonably retain the data</t>
        </is>
      </c>
      <c r="I37" s="16" t="inlineStr">
        <is>
          <t>Gate 1a</t>
        </is>
      </c>
      <c r="J37" s="8" t="inlineStr">
        <is>
          <t>LOW</t>
        </is>
      </c>
      <c r="K37" s="19" t="inlineStr"/>
      <c r="L37" s="16">
        <f>IF(K37="","—",IF(J37=K37,"MATCH","MISMATCH"))</f>
        <v/>
      </c>
    </row>
    <row r="39" ht="15" customHeight="1">
      <c r="A39" s="29" t="inlineStr">
        <is>
          <t>Gate 1a — No-written-obtained + CE/fed + non-mal → LOW</t>
        </is>
      </c>
    </row>
    <row r="40" ht="15" customHeight="1">
      <c r="A40" s="20" t="n">
        <v>127</v>
      </c>
      <c r="B40" s="21" t="inlineStr">
        <is>
          <t>Gate 1a — No-written-obtained + CE/fed + non-mal → LOW</t>
        </is>
      </c>
      <c r="C40" s="22" t="inlineStr">
        <is>
          <t>Unintentional or inadvertent</t>
        </is>
      </c>
      <c r="D40" s="22" t="inlineStr">
        <is>
          <t>Disclosure</t>
        </is>
      </c>
      <c r="E40" s="6" t="inlineStr">
        <is>
          <t>authorized</t>
        </is>
      </c>
      <c r="F40" s="22" t="inlineStr">
        <is>
          <t>Covered entity</t>
        </is>
      </c>
      <c r="G40" s="22" t="inlineStr">
        <is>
          <t>Sufficient risk mitigation</t>
        </is>
      </c>
      <c r="H40" s="22" t="inlineStr">
        <is>
          <t>No written assurance was obtained</t>
        </is>
      </c>
      <c r="I40" s="20" t="inlineStr">
        <is>
          <t>Gate 1a</t>
        </is>
      </c>
      <c r="J40" s="8" t="inlineStr">
        <is>
          <t>LOW</t>
        </is>
      </c>
      <c r="K40" s="19" t="inlineStr"/>
      <c r="L40" s="20">
        <f>IF(K40="","—",IF(J40=K40,"MATCH","MISMATCH"))</f>
        <v/>
      </c>
    </row>
    <row r="41" ht="15" customHeight="1">
      <c r="A41" s="16" t="n">
        <v>128</v>
      </c>
      <c r="B41" s="17" t="inlineStr">
        <is>
          <t>Gate 1a — No-written-obtained + CE/fed + non-mal → LOW</t>
        </is>
      </c>
      <c r="C41" s="18" t="inlineStr">
        <is>
          <t>Unintentional or inadvertent</t>
        </is>
      </c>
      <c r="D41" s="18" t="inlineStr">
        <is>
          <t>Disclosure</t>
        </is>
      </c>
      <c r="E41" s="4" t="inlineStr">
        <is>
          <t>authorized</t>
        </is>
      </c>
      <c r="F41" s="18" t="inlineStr">
        <is>
          <t>Federal agency obligated to Privacy Act of 1974 and FISMA</t>
        </is>
      </c>
      <c r="G41" s="18" t="inlineStr">
        <is>
          <t>Sufficient risk mitigation</t>
        </is>
      </c>
      <c r="H41" s="18" t="inlineStr">
        <is>
          <t>No written assurance was obtained</t>
        </is>
      </c>
      <c r="I41" s="16" t="inlineStr">
        <is>
          <t>Gate 1a</t>
        </is>
      </c>
      <c r="J41" s="8" t="inlineStr">
        <is>
          <t>LOW</t>
        </is>
      </c>
      <c r="K41" s="19" t="inlineStr"/>
      <c r="L41" s="16">
        <f>IF(K41="","—",IF(J41=K41,"MATCH","MISMATCH"))</f>
        <v/>
      </c>
    </row>
    <row r="43" ht="15" customHeight="1">
      <c r="A43" s="29" t="inlineStr">
        <is>
          <t>Gate 1a — Satisfactory + auth + obligated → LOW</t>
        </is>
      </c>
    </row>
    <row r="44" ht="15" customHeight="1">
      <c r="A44" s="20" t="n">
        <v>129</v>
      </c>
      <c r="B44" s="21" t="inlineStr">
        <is>
          <t>Gate 1a — Satisfactory + auth + obligated → LOW</t>
        </is>
      </c>
      <c r="C44" s="22" t="inlineStr">
        <is>
          <t>Intentional, malicious</t>
        </is>
      </c>
      <c r="D44" s="22" t="inlineStr">
        <is>
          <t>Hacking or malware other than ransomware</t>
        </is>
      </c>
      <c r="E44" s="6" t="inlineStr">
        <is>
          <t>authorized</t>
        </is>
      </c>
      <c r="F44" s="22" t="inlineStr">
        <is>
          <t>Covered entity</t>
        </is>
      </c>
      <c r="G44" s="22" t="inlineStr">
        <is>
          <t>Sufficient risk mitigation</t>
        </is>
      </c>
      <c r="H44" s="22" t="inlineStr">
        <is>
          <t>Satisfactory assurance was obtained from a recipient obligated to protect personal data</t>
        </is>
      </c>
      <c r="I44" s="20" t="inlineStr">
        <is>
          <t>Gate 1a</t>
        </is>
      </c>
      <c r="J44" s="8" t="inlineStr">
        <is>
          <t>LOW</t>
        </is>
      </c>
      <c r="K44" s="19" t="inlineStr"/>
      <c r="L44" s="20">
        <f>IF(K44="","—",IF(J44=K44,"MATCH","MISMATCH"))</f>
        <v/>
      </c>
    </row>
    <row r="45" ht="15" customHeight="1">
      <c r="A45" s="16" t="n">
        <v>130</v>
      </c>
      <c r="B45" s="17" t="inlineStr">
        <is>
          <t>Gate 1a — Satisfactory + auth + obligated → LOW</t>
        </is>
      </c>
      <c r="C45" s="18" t="inlineStr">
        <is>
          <t>Intentional, malicious</t>
        </is>
      </c>
      <c r="D45" s="18" t="inlineStr">
        <is>
          <t>Hacking or malware other than ransomware</t>
        </is>
      </c>
      <c r="E45" s="4" t="inlineStr">
        <is>
          <t>authorized</t>
        </is>
      </c>
      <c r="F45" s="18" t="inlineStr">
        <is>
          <t>Business associate</t>
        </is>
      </c>
      <c r="G45" s="18" t="inlineStr">
        <is>
          <t>Sufficient risk mitigation</t>
        </is>
      </c>
      <c r="H45" s="18" t="inlineStr">
        <is>
          <t>Satisfactory assurance was obtained from a recipient obligated to protect personal data</t>
        </is>
      </c>
      <c r="I45" s="16" t="inlineStr">
        <is>
          <t>Gate 1a</t>
        </is>
      </c>
      <c r="J45" s="8" t="inlineStr">
        <is>
          <t>LOW</t>
        </is>
      </c>
      <c r="K45" s="19" t="inlineStr"/>
      <c r="L45" s="16">
        <f>IF(K45="","—",IF(J45=K45,"MATCH","MISMATCH"))</f>
        <v/>
      </c>
    </row>
    <row r="46" ht="15" customHeight="1">
      <c r="A46" s="20" t="n">
        <v>131</v>
      </c>
      <c r="B46" s="21" t="inlineStr">
        <is>
          <t>Gate 1a — Satisfactory + auth + obligated → LOW</t>
        </is>
      </c>
      <c r="C46" s="22" t="inlineStr">
        <is>
          <t>Intentional, malicious</t>
        </is>
      </c>
      <c r="D46" s="22" t="inlineStr">
        <is>
          <t>Hacking or malware other than ransomware</t>
        </is>
      </c>
      <c r="E46" s="6" t="inlineStr">
        <is>
          <t>authorized</t>
        </is>
      </c>
      <c r="F46" s="22" t="inlineStr">
        <is>
          <t>Registered investment advisor</t>
        </is>
      </c>
      <c r="G46" s="22" t="inlineStr">
        <is>
          <t>Sufficient risk mitigation</t>
        </is>
      </c>
      <c r="H46" s="22" t="inlineStr">
        <is>
          <t>Satisfactory assurance was obtained from a recipient obligated to protect personal data</t>
        </is>
      </c>
      <c r="I46" s="20" t="inlineStr">
        <is>
          <t>Gate 1a</t>
        </is>
      </c>
      <c r="J46" s="8" t="inlineStr">
        <is>
          <t>LOW</t>
        </is>
      </c>
      <c r="K46" s="19" t="inlineStr"/>
      <c r="L46" s="20">
        <f>IF(K46="","—",IF(J46=K46,"MATCH","MISMATCH"))</f>
        <v/>
      </c>
    </row>
    <row r="48" ht="15" customHeight="1">
      <c r="A48" s="29" t="inlineStr">
        <is>
          <t>Gate 1a — Unopened + hacker/media + malicious → MOD</t>
        </is>
      </c>
    </row>
    <row r="49" ht="15" customHeight="1">
      <c r="A49" s="16" t="n">
        <v>132</v>
      </c>
      <c r="B49" s="17" t="inlineStr">
        <is>
          <t>Gate 1a — Unopened + hacker/media + malicious → MOD</t>
        </is>
      </c>
      <c r="C49" s="18" t="inlineStr">
        <is>
          <t>Intentional, malicious</t>
        </is>
      </c>
      <c r="D49" s="18" t="inlineStr">
        <is>
          <t>Hacking or malware other than ransomware</t>
        </is>
      </c>
      <c r="E49" s="4" t="inlineStr">
        <is>
          <t>unauthorized</t>
        </is>
      </c>
      <c r="F49" s="18" t="inlineStr">
        <is>
          <t>Hacker or thief</t>
        </is>
      </c>
      <c r="G49" s="18" t="inlineStr">
        <is>
          <t>Sufficient risk mitigation</t>
        </is>
      </c>
      <c r="H49" s="18" t="inlineStr">
        <is>
          <t>Recipient had the opportunity, but did not view, access, transfer, or use the data (unopened returned mail)</t>
        </is>
      </c>
      <c r="I49" s="16" t="inlineStr">
        <is>
          <t>Gate 1a</t>
        </is>
      </c>
      <c r="J49" s="19" t="inlineStr">
        <is>
          <t>MODERATE</t>
        </is>
      </c>
      <c r="K49" s="19" t="inlineStr"/>
      <c r="L49" s="16">
        <f>IF(K49="","—",IF(J49=K49,"MATCH","MISMATCH"))</f>
        <v/>
      </c>
    </row>
    <row r="50" ht="15" customHeight="1">
      <c r="A50" s="20" t="n">
        <v>133</v>
      </c>
      <c r="B50" s="21" t="inlineStr">
        <is>
          <t>Gate 1a — Unopened + hacker/media + malicious → MOD</t>
        </is>
      </c>
      <c r="C50" s="22" t="inlineStr">
        <is>
          <t>Intentional, malicious</t>
        </is>
      </c>
      <c r="D50" s="22" t="inlineStr">
        <is>
          <t>Hacking or malware other than ransomware</t>
        </is>
      </c>
      <c r="E50" s="6" t="inlineStr">
        <is>
          <t>unauthorized</t>
        </is>
      </c>
      <c r="F50" s="22" t="inlineStr">
        <is>
          <t>Media</t>
        </is>
      </c>
      <c r="G50" s="22" t="inlineStr">
        <is>
          <t>Sufficient risk mitigation</t>
        </is>
      </c>
      <c r="H50" s="22" t="inlineStr">
        <is>
          <t>Recipient had the opportunity, but did not view, access, transfer, or use the data (unopened returned mail)</t>
        </is>
      </c>
      <c r="I50" s="20" t="inlineStr">
        <is>
          <t>Gate 1a</t>
        </is>
      </c>
      <c r="J50" s="19" t="inlineStr">
        <is>
          <t>MODERATE</t>
        </is>
      </c>
      <c r="K50" s="19" t="inlineStr"/>
      <c r="L50" s="20">
        <f>IF(K50="","—",IF(J50=K50,"MATCH","MISMATCH"))</f>
        <v/>
      </c>
    </row>
    <row r="52" ht="15" customHeight="1">
      <c r="A52" s="29" t="inlineStr">
        <is>
          <t>Gate 1a — Unopened + other unauthorized → LOW</t>
        </is>
      </c>
    </row>
    <row r="53" ht="15" customHeight="1">
      <c r="A53" s="16" t="n">
        <v>134</v>
      </c>
      <c r="B53" s="17" t="inlineStr">
        <is>
          <t>Gate 1a — Unopened + other unauthorized → LOW</t>
        </is>
      </c>
      <c r="C53" s="18" t="inlineStr">
        <is>
          <t>Intentional, malicious</t>
        </is>
      </c>
      <c r="D53" s="18" t="inlineStr">
        <is>
          <t>Hacking or malware other than ransomware</t>
        </is>
      </c>
      <c r="E53" s="4" t="inlineStr">
        <is>
          <t>unauthorized</t>
        </is>
      </c>
      <c r="F53" s="18" t="inlineStr">
        <is>
          <t>Covered entity</t>
        </is>
      </c>
      <c r="G53" s="18" t="inlineStr">
        <is>
          <t>Sufficient risk mitigation</t>
        </is>
      </c>
      <c r="H53" s="18" t="inlineStr">
        <is>
          <t>Recipient had the opportunity, but did not view, access, transfer, or use the data (unopened returned mail)</t>
        </is>
      </c>
      <c r="I53" s="16" t="inlineStr">
        <is>
          <t>Gate 1a</t>
        </is>
      </c>
      <c r="J53" s="8" t="inlineStr">
        <is>
          <t>LOW</t>
        </is>
      </c>
      <c r="K53" s="19" t="inlineStr"/>
      <c r="L53" s="16">
        <f>IF(K53="","—",IF(J53=K53,"MATCH","MISMATCH"))</f>
        <v/>
      </c>
    </row>
    <row r="54" ht="15" customHeight="1">
      <c r="A54" s="20" t="n">
        <v>135</v>
      </c>
      <c r="B54" s="21" t="inlineStr">
        <is>
          <t>Gate 1a — Unopened + other unauthorized → LOW</t>
        </is>
      </c>
      <c r="C54" s="22" t="inlineStr">
        <is>
          <t>Intentional, malicious</t>
        </is>
      </c>
      <c r="D54" s="22" t="inlineStr">
        <is>
          <t>Hacking or malware other than ransomware</t>
        </is>
      </c>
      <c r="E54" s="6" t="inlineStr">
        <is>
          <t>unauthorized</t>
        </is>
      </c>
      <c r="F54" s="22" t="inlineStr">
        <is>
          <t>Business associate or state government agency</t>
        </is>
      </c>
      <c r="G54" s="22" t="inlineStr">
        <is>
          <t>Sufficient risk mitigation</t>
        </is>
      </c>
      <c r="H54" s="22" t="inlineStr">
        <is>
          <t>Recipient had the opportunity, but did not view, access, transfer, or use the data (unopened returned mail)</t>
        </is>
      </c>
      <c r="I54" s="20" t="inlineStr">
        <is>
          <t>Gate 1a</t>
        </is>
      </c>
      <c r="J54" s="8" t="inlineStr">
        <is>
          <t>LOW</t>
        </is>
      </c>
      <c r="K54" s="19" t="inlineStr"/>
      <c r="L54" s="20">
        <f>IF(K54="","—",IF(J54=K54,"MATCH","MISMATCH"))</f>
        <v/>
      </c>
    </row>
    <row r="55" ht="15" customHeight="1">
      <c r="A55" s="16" t="n">
        <v>136</v>
      </c>
      <c r="B55" s="17" t="inlineStr">
        <is>
          <t>Gate 1a — Unopened + other unauthorized → LOW</t>
        </is>
      </c>
      <c r="C55" s="18" t="inlineStr">
        <is>
          <t>Intentional, malicious</t>
        </is>
      </c>
      <c r="D55" s="18" t="inlineStr">
        <is>
          <t>Hacking or malware other than ransomware</t>
        </is>
      </c>
      <c r="E55" s="4" t="inlineStr">
        <is>
          <t>unauthorized</t>
        </is>
      </c>
      <c r="F55" s="18" t="inlineStr">
        <is>
          <t>Business associate</t>
        </is>
      </c>
      <c r="G55" s="18" t="inlineStr">
        <is>
          <t>Sufficient risk mitigation</t>
        </is>
      </c>
      <c r="H55" s="18" t="inlineStr">
        <is>
          <t>Recipient had the opportunity, but did not view, access, transfer, or use the data (unopened returned mail)</t>
        </is>
      </c>
      <c r="I55" s="16" t="inlineStr">
        <is>
          <t>Gate 1a</t>
        </is>
      </c>
      <c r="J55" s="8" t="inlineStr">
        <is>
          <t>LOW</t>
        </is>
      </c>
      <c r="K55" s="19" t="inlineStr"/>
      <c r="L55" s="16">
        <f>IF(K55="","—",IF(J55=K55,"MATCH","MISMATCH"))</f>
        <v/>
      </c>
    </row>
    <row r="57" ht="15" customHeight="1">
      <c r="A57" s="29" t="inlineStr">
        <is>
          <t>Gate 1b — Attorney + malicious → EXTREME</t>
        </is>
      </c>
    </row>
    <row r="58" ht="15" customHeight="1">
      <c r="A58" s="20" t="n">
        <v>137</v>
      </c>
      <c r="B58" s="21" t="inlineStr">
        <is>
          <t>Gate 1b — Attorney + malicious → EXTREME</t>
        </is>
      </c>
      <c r="C58" s="22" t="inlineStr">
        <is>
          <t>Intentional, malicious</t>
        </is>
      </c>
      <c r="D58" s="22" t="inlineStr">
        <is>
          <t>Hacking or malware other than ransomware</t>
        </is>
      </c>
      <c r="E58" s="6" t="inlineStr">
        <is>
          <t>unauthorized</t>
        </is>
      </c>
      <c r="F58" s="22" t="inlineStr">
        <is>
          <t>Attorney or law firm</t>
        </is>
      </c>
      <c r="G58" s="22" t="inlineStr">
        <is>
          <t>Sufficient risk mitigation</t>
        </is>
      </c>
      <c r="H58" s="22" t="inlineStr">
        <is>
          <t>Recipient confirmed receipt and use of data as permitted</t>
        </is>
      </c>
      <c r="I58" s="20" t="inlineStr">
        <is>
          <t>Gate 1b</t>
        </is>
      </c>
      <c r="J58" s="27" t="inlineStr">
        <is>
          <t>EXTREME</t>
        </is>
      </c>
      <c r="K58" s="19" t="inlineStr"/>
      <c r="L58" s="20">
        <f>IF(K58="","—",IF(J58=K58,"MATCH","MISMATCH"))</f>
        <v/>
      </c>
    </row>
    <row r="60" ht="15" customHeight="1">
      <c r="A60" s="29" t="inlineStr">
        <is>
          <t>Gate 1b — Attorney + not-malicious → HIGH</t>
        </is>
      </c>
    </row>
    <row r="61" ht="15" customHeight="1">
      <c r="A61" s="16" t="n">
        <v>138</v>
      </c>
      <c r="B61" s="17" t="inlineStr">
        <is>
          <t>Gate 1b — Attorney + not-malicious → HIGH</t>
        </is>
      </c>
      <c r="C61" s="18" t="inlineStr">
        <is>
          <t>Intentional, not malicious</t>
        </is>
      </c>
      <c r="D61" s="18" t="inlineStr">
        <is>
          <t>Unauthorized use</t>
        </is>
      </c>
      <c r="E61" s="4" t="inlineStr">
        <is>
          <t>unauthorized</t>
        </is>
      </c>
      <c r="F61" s="18" t="inlineStr">
        <is>
          <t>Attorney or law firm</t>
        </is>
      </c>
      <c r="G61" s="18" t="inlineStr">
        <is>
          <t>Sufficient risk mitigation</t>
        </is>
      </c>
      <c r="H61" s="18" t="inlineStr">
        <is>
          <t>Recipient confirmed receipt and use of data as permitted</t>
        </is>
      </c>
      <c r="I61" s="16" t="inlineStr">
        <is>
          <t>Gate 1b</t>
        </is>
      </c>
      <c r="J61" s="23" t="inlineStr">
        <is>
          <t>HIGH</t>
        </is>
      </c>
      <c r="K61" s="19" t="inlineStr"/>
      <c r="L61" s="16">
        <f>IF(K61="","—",IF(J61=K61,"MATCH","MISMATCH"))</f>
        <v/>
      </c>
    </row>
    <row r="62" ht="15" customHeight="1">
      <c r="A62" s="20" t="n">
        <v>139</v>
      </c>
      <c r="B62" s="21" t="inlineStr">
        <is>
          <t>Gate 1b — Attorney + not-malicious → HIGH</t>
        </is>
      </c>
      <c r="C62" s="22" t="inlineStr">
        <is>
          <t>Unintentional or inadvertent</t>
        </is>
      </c>
      <c r="D62" s="22" t="inlineStr">
        <is>
          <t>Disclosure</t>
        </is>
      </c>
      <c r="E62" s="6" t="inlineStr">
        <is>
          <t>unauthorized</t>
        </is>
      </c>
      <c r="F62" s="22" t="inlineStr">
        <is>
          <t>Attorney or law firm</t>
        </is>
      </c>
      <c r="G62" s="22" t="inlineStr">
        <is>
          <t>Sufficient risk mitigation</t>
        </is>
      </c>
      <c r="H62" s="22" t="inlineStr">
        <is>
          <t>Recipient confirmed receipt and use of data as permitted</t>
        </is>
      </c>
      <c r="I62" s="20" t="inlineStr">
        <is>
          <t>Gate 1b</t>
        </is>
      </c>
      <c r="J62" s="23" t="inlineStr">
        <is>
          <t>HIGH</t>
        </is>
      </c>
      <c r="K62" s="19" t="inlineStr"/>
      <c r="L62" s="20">
        <f>IF(K62="","—",IF(J62=K62,"MATCH","MISMATCH"))</f>
        <v/>
      </c>
    </row>
    <row r="64" ht="15" customHeight="1">
      <c r="A64" s="29" t="inlineStr">
        <is>
          <t>Gate 1b — Auth + partial prot → MOD</t>
        </is>
      </c>
    </row>
    <row r="65" ht="15" customHeight="1">
      <c r="A65" s="16" t="n">
        <v>140</v>
      </c>
      <c r="B65" s="17" t="inlineStr">
        <is>
          <t>Gate 1b — Auth + partial prot → MOD</t>
        </is>
      </c>
      <c r="C65" s="18" t="inlineStr">
        <is>
          <t>Intentional, malicious</t>
        </is>
      </c>
      <c r="D65" s="18" t="inlineStr">
        <is>
          <t>Hacking or malware other than ransomware</t>
        </is>
      </c>
      <c r="E65" s="4" t="inlineStr">
        <is>
          <t>authorized</t>
        </is>
      </c>
      <c r="F65" s="18" t="inlineStr">
        <is>
          <t>Covered entity</t>
        </is>
      </c>
      <c r="G65" s="18" t="inlineStr">
        <is>
          <t>Sufficient risk mitigation</t>
        </is>
      </c>
      <c r="H65" s="18" t="inlineStr">
        <is>
          <t>Written assurance was provided (confidentiality agreement, attestation)</t>
        </is>
      </c>
      <c r="I65" s="16" t="inlineStr">
        <is>
          <t>Gate 1b</t>
        </is>
      </c>
      <c r="J65" s="19" t="inlineStr">
        <is>
          <t>MODERATE</t>
        </is>
      </c>
      <c r="K65" s="19" t="inlineStr"/>
      <c r="L65" s="16">
        <f>IF(K65="","—",IF(J65=K65,"MATCH","MISMATCH"))</f>
        <v/>
      </c>
    </row>
    <row r="66" ht="15" customHeight="1">
      <c r="A66" s="20" t="n">
        <v>141</v>
      </c>
      <c r="B66" s="21" t="inlineStr">
        <is>
          <t>Gate 1b — Auth + partial prot → MOD</t>
        </is>
      </c>
      <c r="C66" s="22" t="inlineStr">
        <is>
          <t>Intentional, malicious</t>
        </is>
      </c>
      <c r="D66" s="22" t="inlineStr">
        <is>
          <t>Hacking or malware other than ransomware</t>
        </is>
      </c>
      <c r="E66" s="6" t="inlineStr">
        <is>
          <t>authorized</t>
        </is>
      </c>
      <c r="F66" s="22" t="inlineStr">
        <is>
          <t>Business associate</t>
        </is>
      </c>
      <c r="G66" s="22" t="inlineStr">
        <is>
          <t>Sufficient risk mitigation</t>
        </is>
      </c>
      <c r="H66" s="22" t="inlineStr">
        <is>
          <t>Recipient confirmed receipt and use of data as permitted</t>
        </is>
      </c>
      <c r="I66" s="20" t="inlineStr">
        <is>
          <t>Gate 1b</t>
        </is>
      </c>
      <c r="J66" s="19" t="inlineStr">
        <is>
          <t>MODERATE</t>
        </is>
      </c>
      <c r="K66" s="19" t="inlineStr"/>
      <c r="L66" s="20">
        <f>IF(K66="","—",IF(J66=K66,"MATCH","MISMATCH"))</f>
        <v/>
      </c>
    </row>
    <row r="67" ht="15" customHeight="1">
      <c r="A67" s="16" t="n">
        <v>142</v>
      </c>
      <c r="B67" s="17" t="inlineStr">
        <is>
          <t>Gate 1b — Auth + partial prot → MOD</t>
        </is>
      </c>
      <c r="C67" s="18" t="inlineStr">
        <is>
          <t>Intentional, malicious</t>
        </is>
      </c>
      <c r="D67" s="18" t="inlineStr">
        <is>
          <t>Hacking or malware other than ransomware</t>
        </is>
      </c>
      <c r="E67" s="4" t="inlineStr">
        <is>
          <t>authorized</t>
        </is>
      </c>
      <c r="F67" s="18" t="inlineStr">
        <is>
          <t>Service provider</t>
        </is>
      </c>
      <c r="G67" s="18" t="inlineStr">
        <is>
          <t>Sufficient risk mitigation</t>
        </is>
      </c>
      <c r="H67" s="18" t="inlineStr">
        <is>
          <t>Recipient confirmed receipt and use of data as permitted</t>
        </is>
      </c>
      <c r="I67" s="16" t="inlineStr">
        <is>
          <t>Gate 1b</t>
        </is>
      </c>
      <c r="J67" s="19" t="inlineStr">
        <is>
          <t>MODERATE</t>
        </is>
      </c>
      <c r="K67" s="19" t="inlineStr"/>
      <c r="L67" s="16">
        <f>IF(K67="","—",IF(J67=K67,"MATCH","MISMATCH"))</f>
        <v/>
      </c>
    </row>
    <row r="69" ht="15" customHeight="1">
      <c r="A69" s="29" t="inlineStr">
        <is>
          <t>Gate 1b — Employee + malicious → MOD</t>
        </is>
      </c>
    </row>
    <row r="70" ht="15" customHeight="1">
      <c r="A70" s="20" t="n">
        <v>143</v>
      </c>
      <c r="B70" s="21" t="inlineStr">
        <is>
          <t>Gate 1b — Employee + malicious → MOD</t>
        </is>
      </c>
      <c r="C70" s="22" t="inlineStr">
        <is>
          <t>Intentional, malicious</t>
        </is>
      </c>
      <c r="D70" s="22" t="inlineStr">
        <is>
          <t>Hacking or malware other than ransomware</t>
        </is>
      </c>
      <c r="E70" s="6" t="inlineStr">
        <is>
          <t>authorized</t>
        </is>
      </c>
      <c r="F70" s="22" t="inlineStr">
        <is>
          <t>Employee, workforce member, or agent of the entity</t>
        </is>
      </c>
      <c r="G70" s="22" t="inlineStr">
        <is>
          <t>Sufficient risk mitigation</t>
        </is>
      </c>
      <c r="H70" s="22" t="inlineStr">
        <is>
          <t>Recipient confirmed receipt and use of data as permitted</t>
        </is>
      </c>
      <c r="I70" s="20" t="inlineStr">
        <is>
          <t>Gate 1b</t>
        </is>
      </c>
      <c r="J70" s="19" t="inlineStr">
        <is>
          <t>MODERATE</t>
        </is>
      </c>
      <c r="K70" s="19" t="inlineStr"/>
      <c r="L70" s="20">
        <f>IF(K70="","—",IF(J70=K70,"MATCH","MISMATCH"))</f>
        <v/>
      </c>
    </row>
    <row r="71" ht="15" customHeight="1">
      <c r="A71" s="16" t="n">
        <v>144</v>
      </c>
      <c r="B71" s="17" t="inlineStr">
        <is>
          <t>Gate 1b — Employee + malicious → MOD</t>
        </is>
      </c>
      <c r="C71" s="18" t="inlineStr">
        <is>
          <t>Intentional, malicious</t>
        </is>
      </c>
      <c r="D71" s="18" t="inlineStr">
        <is>
          <t>Hacking or malware other than ransomware</t>
        </is>
      </c>
      <c r="E71" s="4" t="inlineStr">
        <is>
          <t>unauthorized</t>
        </is>
      </c>
      <c r="F71" s="18" t="inlineStr">
        <is>
          <t>Employee, workforce member, or agent of the entity</t>
        </is>
      </c>
      <c r="G71" s="18" t="inlineStr">
        <is>
          <t>Sufficient risk mitigation</t>
        </is>
      </c>
      <c r="H71" s="18" t="inlineStr">
        <is>
          <t>Recipient confirmed receipt and use of data as permitted</t>
        </is>
      </c>
      <c r="I71" s="16" t="inlineStr">
        <is>
          <t>Gate 1b</t>
        </is>
      </c>
      <c r="J71" s="19" t="inlineStr">
        <is>
          <t>MODERATE</t>
        </is>
      </c>
      <c r="K71" s="19" t="inlineStr"/>
      <c r="L71" s="16">
        <f>IF(K71="","—",IF(J71=K71,"MATCH","MISMATCH"))</f>
        <v/>
      </c>
    </row>
    <row r="73" ht="15" customHeight="1">
      <c r="A73" s="29" t="inlineStr">
        <is>
          <t>Gate 1b — Employee + unintentional → LOW</t>
        </is>
      </c>
    </row>
    <row r="74" ht="15" customHeight="1">
      <c r="A74" s="20" t="n">
        <v>145</v>
      </c>
      <c r="B74" s="21" t="inlineStr">
        <is>
          <t>Gate 1b — Employee + unintentional → LOW</t>
        </is>
      </c>
      <c r="C74" s="22" t="inlineStr">
        <is>
          <t>Intentional, not malicious</t>
        </is>
      </c>
      <c r="D74" s="22" t="inlineStr">
        <is>
          <t>Unauthorized use</t>
        </is>
      </c>
      <c r="E74" s="6" t="inlineStr">
        <is>
          <t>authorized</t>
        </is>
      </c>
      <c r="F74" s="22" t="inlineStr">
        <is>
          <t>Employee, workforce member, or agent of the entity</t>
        </is>
      </c>
      <c r="G74" s="22" t="inlineStr">
        <is>
          <t>Sufficient risk mitigation</t>
        </is>
      </c>
      <c r="H74" s="22" t="inlineStr">
        <is>
          <t>Recipient confirmed receipt and use of data as permitted</t>
        </is>
      </c>
      <c r="I74" s="20" t="inlineStr">
        <is>
          <t>Gate 1b</t>
        </is>
      </c>
      <c r="J74" s="8" t="inlineStr">
        <is>
          <t>LOW</t>
        </is>
      </c>
      <c r="K74" s="19" t="inlineStr"/>
      <c r="L74" s="20">
        <f>IF(K74="","—",IF(J74=K74,"MATCH","MISMATCH"))</f>
        <v/>
      </c>
    </row>
    <row r="75" ht="15" customHeight="1">
      <c r="A75" s="16" t="n">
        <v>146</v>
      </c>
      <c r="B75" s="17" t="inlineStr">
        <is>
          <t>Gate 1b — Employee + unintentional → LOW</t>
        </is>
      </c>
      <c r="C75" s="18" t="inlineStr">
        <is>
          <t>Intentional, not malicious</t>
        </is>
      </c>
      <c r="D75" s="18" t="inlineStr">
        <is>
          <t>Unauthorized use</t>
        </is>
      </c>
      <c r="E75" s="4" t="inlineStr">
        <is>
          <t>unauthorized</t>
        </is>
      </c>
      <c r="F75" s="18" t="inlineStr">
        <is>
          <t>Employee, workforce member, or agent of the entity</t>
        </is>
      </c>
      <c r="G75" s="18" t="inlineStr">
        <is>
          <t>Sufficient risk mitigation</t>
        </is>
      </c>
      <c r="H75" s="18" t="inlineStr">
        <is>
          <t>Recipient confirmed receipt and use of data as permitted</t>
        </is>
      </c>
      <c r="I75" s="16" t="inlineStr">
        <is>
          <t>Gate 1b</t>
        </is>
      </c>
      <c r="J75" s="8" t="inlineStr">
        <is>
          <t>LOW</t>
        </is>
      </c>
      <c r="K75" s="19" t="inlineStr"/>
      <c r="L75" s="16">
        <f>IF(K75="","—",IF(J75=K75,"MATCH","MISMATCH"))</f>
        <v/>
      </c>
    </row>
    <row r="76" ht="15" customHeight="1">
      <c r="A76" s="20" t="n">
        <v>147</v>
      </c>
      <c r="B76" s="21" t="inlineStr">
        <is>
          <t>Gate 1b — Employee + unintentional → LOW</t>
        </is>
      </c>
      <c r="C76" s="22" t="inlineStr">
        <is>
          <t>Unintentional or inadvertent</t>
        </is>
      </c>
      <c r="D76" s="22" t="inlineStr">
        <is>
          <t>Disclosure</t>
        </is>
      </c>
      <c r="E76" s="6" t="inlineStr">
        <is>
          <t>authorized</t>
        </is>
      </c>
      <c r="F76" s="22" t="inlineStr">
        <is>
          <t>Employee, workforce member, or agent of the entity</t>
        </is>
      </c>
      <c r="G76" s="22" t="inlineStr">
        <is>
          <t>Sufficient risk mitigation</t>
        </is>
      </c>
      <c r="H76" s="22" t="inlineStr">
        <is>
          <t>Recipient confirmed receipt and use of data as permitted</t>
        </is>
      </c>
      <c r="I76" s="20" t="inlineStr">
        <is>
          <t>Gate 1b</t>
        </is>
      </c>
      <c r="J76" s="8" t="inlineStr">
        <is>
          <t>LOW</t>
        </is>
      </c>
      <c r="K76" s="19" t="inlineStr"/>
      <c r="L76" s="20">
        <f>IF(K76="","—",IF(J76=K76,"MATCH","MISMATCH"))</f>
        <v/>
      </c>
    </row>
    <row r="78" ht="15" customHeight="1">
      <c r="A78" s="29" t="inlineStr">
        <is>
          <t>Gate 1b — Hacker/media + malicious + prot&gt;0.20 → HIGH</t>
        </is>
      </c>
    </row>
    <row r="79" ht="15" customHeight="1">
      <c r="A79" s="16" t="n">
        <v>148</v>
      </c>
      <c r="B79" s="17" t="inlineStr">
        <is>
          <t>Gate 1b — Hacker/media + malicious + prot&gt;0.20 → HIGH</t>
        </is>
      </c>
      <c r="C79" s="18" t="inlineStr">
        <is>
          <t>Intentional, malicious</t>
        </is>
      </c>
      <c r="D79" s="18" t="inlineStr">
        <is>
          <t>Hacking or malware other than ransomware</t>
        </is>
      </c>
      <c r="E79" s="4" t="inlineStr">
        <is>
          <t>unauthorized</t>
        </is>
      </c>
      <c r="F79" s="18" t="inlineStr">
        <is>
          <t>Hacker or thief</t>
        </is>
      </c>
      <c r="G79" s="18" t="inlineStr">
        <is>
          <t>Sufficient risk mitigation</t>
        </is>
      </c>
      <c r="H79" s="18" t="inlineStr">
        <is>
          <t>Recipient confirmed receipt and use of data as permitted</t>
        </is>
      </c>
      <c r="I79" s="16" t="inlineStr">
        <is>
          <t>Gate 1b</t>
        </is>
      </c>
      <c r="J79" s="23" t="inlineStr">
        <is>
          <t>HIGH</t>
        </is>
      </c>
      <c r="K79" s="19" t="inlineStr"/>
      <c r="L79" s="16">
        <f>IF(K79="","—",IF(J79=K79,"MATCH","MISMATCH"))</f>
        <v/>
      </c>
    </row>
    <row r="80" ht="15" customHeight="1">
      <c r="A80" s="20" t="n">
        <v>149</v>
      </c>
      <c r="B80" s="21" t="inlineStr">
        <is>
          <t>Gate 1b — Hacker/media + malicious + prot&gt;0.20 → HIGH</t>
        </is>
      </c>
      <c r="C80" s="22" t="inlineStr">
        <is>
          <t>Intentional, malicious</t>
        </is>
      </c>
      <c r="D80" s="22" t="inlineStr">
        <is>
          <t>Hacking or malware other than ransomware</t>
        </is>
      </c>
      <c r="E80" s="6" t="inlineStr">
        <is>
          <t>unauthorized</t>
        </is>
      </c>
      <c r="F80" s="22" t="inlineStr">
        <is>
          <t>Media</t>
        </is>
      </c>
      <c r="G80" s="22" t="inlineStr">
        <is>
          <t>Sufficient risk mitigation</t>
        </is>
      </c>
      <c r="H80" s="22" t="inlineStr">
        <is>
          <t>Recipient confirmed receipt and use of data as permitted</t>
        </is>
      </c>
      <c r="I80" s="20" t="inlineStr">
        <is>
          <t>Gate 1b</t>
        </is>
      </c>
      <c r="J80" s="23" t="inlineStr">
        <is>
          <t>HIGH</t>
        </is>
      </c>
      <c r="K80" s="19" t="inlineStr"/>
      <c r="L80" s="20">
        <f>IF(K80="","—",IF(J80=K80,"MATCH","MISMATCH"))</f>
        <v/>
      </c>
    </row>
    <row r="82" ht="15" customHeight="1">
      <c r="A82" s="29" t="inlineStr">
        <is>
          <t>Gate 1b — Hacker/media + not-malicious + prot&gt;0.20 → MOD</t>
        </is>
      </c>
    </row>
    <row r="83" ht="15" customHeight="1">
      <c r="A83" s="16" t="n">
        <v>150</v>
      </c>
      <c r="B83" s="17" t="inlineStr">
        <is>
          <t>Gate 1b — Hacker/media + not-malicious + prot&gt;0.20 → MOD</t>
        </is>
      </c>
      <c r="C83" s="18" t="inlineStr">
        <is>
          <t>Intentional, not malicious</t>
        </is>
      </c>
      <c r="D83" s="18" t="inlineStr">
        <is>
          <t>Unauthorized use</t>
        </is>
      </c>
      <c r="E83" s="4" t="inlineStr">
        <is>
          <t>unauthorized</t>
        </is>
      </c>
      <c r="F83" s="18" t="inlineStr">
        <is>
          <t>Hacker or thief</t>
        </is>
      </c>
      <c r="G83" s="18" t="inlineStr">
        <is>
          <t>Sufficient risk mitigation</t>
        </is>
      </c>
      <c r="H83" s="18" t="inlineStr">
        <is>
          <t>Recipient confirmed receipt and use of data as permitted</t>
        </is>
      </c>
      <c r="I83" s="16" t="inlineStr">
        <is>
          <t>Gate 1b</t>
        </is>
      </c>
      <c r="J83" s="19" t="inlineStr">
        <is>
          <t>MODERATE</t>
        </is>
      </c>
      <c r="K83" s="19" t="inlineStr"/>
      <c r="L83" s="16">
        <f>IF(K83="","—",IF(J83=K83,"MATCH","MISMATCH"))</f>
        <v/>
      </c>
    </row>
    <row r="84" ht="15" customHeight="1">
      <c r="A84" s="20" t="n">
        <v>151</v>
      </c>
      <c r="B84" s="21" t="inlineStr">
        <is>
          <t>Gate 1b — Hacker/media + not-malicious + prot&gt;0.20 → MOD</t>
        </is>
      </c>
      <c r="C84" s="22" t="inlineStr">
        <is>
          <t>Intentional, not malicious</t>
        </is>
      </c>
      <c r="D84" s="22" t="inlineStr">
        <is>
          <t>Unauthorized use</t>
        </is>
      </c>
      <c r="E84" s="6" t="inlineStr">
        <is>
          <t>unauthorized</t>
        </is>
      </c>
      <c r="F84" s="22" t="inlineStr">
        <is>
          <t>Media</t>
        </is>
      </c>
      <c r="G84" s="22" t="inlineStr">
        <is>
          <t>Sufficient risk mitigation</t>
        </is>
      </c>
      <c r="H84" s="22" t="inlineStr">
        <is>
          <t>Recipient confirmed receipt and use of data as permitted</t>
        </is>
      </c>
      <c r="I84" s="20" t="inlineStr">
        <is>
          <t>Gate 1b</t>
        </is>
      </c>
      <c r="J84" s="19" t="inlineStr">
        <is>
          <t>MODERATE</t>
        </is>
      </c>
      <c r="K84" s="19" t="inlineStr"/>
      <c r="L84" s="20">
        <f>IF(K84="","—",IF(J84=K84,"MATCH","MISMATCH"))</f>
        <v/>
      </c>
    </row>
    <row r="86" ht="15" customHeight="1">
      <c r="A86" s="29" t="inlineStr">
        <is>
          <t>Gate 1b — Hacker/media + unintentional → HIGH</t>
        </is>
      </c>
    </row>
    <row r="87" ht="15" customHeight="1">
      <c r="A87" s="16" t="n">
        <v>152</v>
      </c>
      <c r="B87" s="17" t="inlineStr">
        <is>
          <t>Gate 1b — Hacker/media + unintentional → HIGH</t>
        </is>
      </c>
      <c r="C87" s="18" t="inlineStr">
        <is>
          <t>Unintentional or inadvertent</t>
        </is>
      </c>
      <c r="D87" s="18" t="inlineStr">
        <is>
          <t>Disclosure</t>
        </is>
      </c>
      <c r="E87" s="4" t="inlineStr">
        <is>
          <t>unauthorized</t>
        </is>
      </c>
      <c r="F87" s="18" t="inlineStr">
        <is>
          <t>Hacker or thief</t>
        </is>
      </c>
      <c r="G87" s="18" t="inlineStr">
        <is>
          <t>Sufficient risk mitigation</t>
        </is>
      </c>
      <c r="H87" s="18" t="inlineStr">
        <is>
          <t>Recipient confirmed receipt and use of data as permitted</t>
        </is>
      </c>
      <c r="I87" s="16" t="inlineStr">
        <is>
          <t>Gate 1b</t>
        </is>
      </c>
      <c r="J87" s="23" t="inlineStr">
        <is>
          <t>HIGH</t>
        </is>
      </c>
      <c r="K87" s="19" t="inlineStr"/>
      <c r="L87" s="16">
        <f>IF(K87="","—",IF(J87=K87,"MATCH","MISMATCH"))</f>
        <v/>
      </c>
    </row>
    <row r="88" ht="15" customHeight="1">
      <c r="A88" s="20" t="n">
        <v>153</v>
      </c>
      <c r="B88" s="21" t="inlineStr">
        <is>
          <t>Gate 1b — Hacker/media + unintentional → HIGH</t>
        </is>
      </c>
      <c r="C88" s="22" t="inlineStr">
        <is>
          <t>Unintentional or inadvertent</t>
        </is>
      </c>
      <c r="D88" s="22" t="inlineStr">
        <is>
          <t>Disclosure</t>
        </is>
      </c>
      <c r="E88" s="6" t="inlineStr">
        <is>
          <t>unauthorized</t>
        </is>
      </c>
      <c r="F88" s="22" t="inlineStr">
        <is>
          <t>Media</t>
        </is>
      </c>
      <c r="G88" s="22" t="inlineStr">
        <is>
          <t>Sufficient risk mitigation</t>
        </is>
      </c>
      <c r="H88" s="22" t="inlineStr">
        <is>
          <t>Recipient confirmed receipt and use of data as permitted</t>
        </is>
      </c>
      <c r="I88" s="20" t="inlineStr">
        <is>
          <t>Gate 1b</t>
        </is>
      </c>
      <c r="J88" s="23" t="inlineStr">
        <is>
          <t>HIGH</t>
        </is>
      </c>
      <c r="K88" s="19" t="inlineStr"/>
      <c r="L88" s="20">
        <f>IF(K88="","—",IF(J88=K88,"MATCH","MISMATCH"))</f>
        <v/>
      </c>
    </row>
    <row r="90" ht="15" customHeight="1">
      <c r="A90" s="29" t="inlineStr">
        <is>
          <t>Gate 1b — Other unauthorized + malicious → HIGH</t>
        </is>
      </c>
    </row>
    <row r="91" ht="15" customHeight="1">
      <c r="A91" s="16" t="n">
        <v>154</v>
      </c>
      <c r="B91" s="17" t="inlineStr">
        <is>
          <t>Gate 1b — Other unauthorized + malicious → HIGH</t>
        </is>
      </c>
      <c r="C91" s="18" t="inlineStr">
        <is>
          <t>Intentional, malicious</t>
        </is>
      </c>
      <c r="D91" s="18" t="inlineStr">
        <is>
          <t>Hacking or malware other than ransomware</t>
        </is>
      </c>
      <c r="E91" s="4" t="inlineStr">
        <is>
          <t>unauthorized</t>
        </is>
      </c>
      <c r="F91" s="18" t="inlineStr">
        <is>
          <t>Covered entity</t>
        </is>
      </c>
      <c r="G91" s="18" t="inlineStr">
        <is>
          <t>Sufficient risk mitigation</t>
        </is>
      </c>
      <c r="H91" s="18" t="inlineStr">
        <is>
          <t>Recipient confirmed receipt and use of data as permitted</t>
        </is>
      </c>
      <c r="I91" s="16" t="inlineStr">
        <is>
          <t>Gate 1b</t>
        </is>
      </c>
      <c r="J91" s="23" t="inlineStr">
        <is>
          <t>HIGH</t>
        </is>
      </c>
      <c r="K91" s="19" t="inlineStr"/>
      <c r="L91" s="16">
        <f>IF(K91="","—",IF(J91=K91,"MATCH","MISMATCH"))</f>
        <v/>
      </c>
    </row>
    <row r="92" ht="15" customHeight="1">
      <c r="A92" s="20" t="n">
        <v>155</v>
      </c>
      <c r="B92" s="21" t="inlineStr">
        <is>
          <t>Gate 1b — Other unauthorized + malicious → HIGH</t>
        </is>
      </c>
      <c r="C92" s="22" t="inlineStr">
        <is>
          <t>Intentional, malicious</t>
        </is>
      </c>
      <c r="D92" s="22" t="inlineStr">
        <is>
          <t>Hacking or malware other than ransomware</t>
        </is>
      </c>
      <c r="E92" s="6" t="inlineStr">
        <is>
          <t>unauthorized</t>
        </is>
      </c>
      <c r="F92" s="22" t="inlineStr">
        <is>
          <t>Business associate or state government agency</t>
        </is>
      </c>
      <c r="G92" s="22" t="inlineStr">
        <is>
          <t>Sufficient risk mitigation</t>
        </is>
      </c>
      <c r="H92" s="22" t="inlineStr">
        <is>
          <t>Recipient confirmed receipt and use of data as permitted</t>
        </is>
      </c>
      <c r="I92" s="20" t="inlineStr">
        <is>
          <t>Gate 1b</t>
        </is>
      </c>
      <c r="J92" s="23" t="inlineStr">
        <is>
          <t>HIGH</t>
        </is>
      </c>
      <c r="K92" s="19" t="inlineStr"/>
      <c r="L92" s="20">
        <f>IF(K92="","—",IF(J92=K92,"MATCH","MISMATCH"))</f>
        <v/>
      </c>
    </row>
    <row r="93" ht="15" customHeight="1">
      <c r="A93" s="16" t="n">
        <v>156</v>
      </c>
      <c r="B93" s="17" t="inlineStr">
        <is>
          <t>Gate 1b — Other unauthorized + malicious → HIGH</t>
        </is>
      </c>
      <c r="C93" s="18" t="inlineStr">
        <is>
          <t>Intentional, malicious</t>
        </is>
      </c>
      <c r="D93" s="18" t="inlineStr">
        <is>
          <t>Hacking or malware other than ransomware</t>
        </is>
      </c>
      <c r="E93" s="4" t="inlineStr">
        <is>
          <t>unauthorized</t>
        </is>
      </c>
      <c r="F93" s="18" t="inlineStr">
        <is>
          <t>Business associate</t>
        </is>
      </c>
      <c r="G93" s="18" t="inlineStr">
        <is>
          <t>Sufficient risk mitigation</t>
        </is>
      </c>
      <c r="H93" s="18" t="inlineStr">
        <is>
          <t>Recipient confirmed receipt and use of data as permitted</t>
        </is>
      </c>
      <c r="I93" s="16" t="inlineStr">
        <is>
          <t>Gate 1b</t>
        </is>
      </c>
      <c r="J93" s="23" t="inlineStr">
        <is>
          <t>HIGH</t>
        </is>
      </c>
      <c r="K93" s="19" t="inlineStr"/>
      <c r="L93" s="16">
        <f>IF(K93="","—",IF(J93=K93,"MATCH","MISMATCH"))</f>
        <v/>
      </c>
    </row>
    <row r="95" ht="15" customHeight="1">
      <c r="A95" s="29" t="inlineStr">
        <is>
          <t>Gate 1b — Other unauthorized + not-malicious → MOD</t>
        </is>
      </c>
    </row>
    <row r="96" ht="15" customHeight="1">
      <c r="A96" s="20" t="n">
        <v>157</v>
      </c>
      <c r="B96" s="21" t="inlineStr">
        <is>
          <t>Gate 1b — Other unauthorized + not-malicious → MOD</t>
        </is>
      </c>
      <c r="C96" s="22" t="inlineStr">
        <is>
          <t>Intentional, not malicious</t>
        </is>
      </c>
      <c r="D96" s="22" t="inlineStr">
        <is>
          <t>Unauthorized use</t>
        </is>
      </c>
      <c r="E96" s="6" t="inlineStr">
        <is>
          <t>unauthorized</t>
        </is>
      </c>
      <c r="F96" s="22" t="inlineStr">
        <is>
          <t>Covered entity</t>
        </is>
      </c>
      <c r="G96" s="22" t="inlineStr">
        <is>
          <t>Sufficient risk mitigation</t>
        </is>
      </c>
      <c r="H96" s="22" t="inlineStr">
        <is>
          <t>Recipient confirmed receipt and use of data as permitted</t>
        </is>
      </c>
      <c r="I96" s="20" t="inlineStr">
        <is>
          <t>Gate 1b</t>
        </is>
      </c>
      <c r="J96" s="19" t="inlineStr">
        <is>
          <t>MODERATE</t>
        </is>
      </c>
      <c r="K96" s="19" t="inlineStr"/>
      <c r="L96" s="20">
        <f>IF(K96="","—",IF(J96=K96,"MATCH","MISMATCH"))</f>
        <v/>
      </c>
    </row>
    <row r="97" ht="15" customHeight="1">
      <c r="A97" s="16" t="n">
        <v>158</v>
      </c>
      <c r="B97" s="17" t="inlineStr">
        <is>
          <t>Gate 1b — Other unauthorized + not-malicious → MOD</t>
        </is>
      </c>
      <c r="C97" s="18" t="inlineStr">
        <is>
          <t>Intentional, not malicious</t>
        </is>
      </c>
      <c r="D97" s="18" t="inlineStr">
        <is>
          <t>Unauthorized use</t>
        </is>
      </c>
      <c r="E97" s="4" t="inlineStr">
        <is>
          <t>unauthorized</t>
        </is>
      </c>
      <c r="F97" s="18" t="inlineStr">
        <is>
          <t>Business associate or state government agency</t>
        </is>
      </c>
      <c r="G97" s="18" t="inlineStr">
        <is>
          <t>Sufficient risk mitigation</t>
        </is>
      </c>
      <c r="H97" s="18" t="inlineStr">
        <is>
          <t>Recipient confirmed receipt and use of data as permitted</t>
        </is>
      </c>
      <c r="I97" s="16" t="inlineStr">
        <is>
          <t>Gate 1b</t>
        </is>
      </c>
      <c r="J97" s="19" t="inlineStr">
        <is>
          <t>MODERATE</t>
        </is>
      </c>
      <c r="K97" s="19" t="inlineStr"/>
      <c r="L97" s="16">
        <f>IF(K97="","—",IF(J97=K97,"MATCH","MISMATCH"))</f>
        <v/>
      </c>
    </row>
    <row r="98" ht="15" customHeight="1">
      <c r="A98" s="20" t="n">
        <v>159</v>
      </c>
      <c r="B98" s="21" t="inlineStr">
        <is>
          <t>Gate 1b — Other unauthorized + not-malicious → MOD</t>
        </is>
      </c>
      <c r="C98" s="22" t="inlineStr">
        <is>
          <t>Intentional, not malicious</t>
        </is>
      </c>
      <c r="D98" s="22" t="inlineStr">
        <is>
          <t>Unauthorized use</t>
        </is>
      </c>
      <c r="E98" s="6" t="inlineStr">
        <is>
          <t>unauthorized</t>
        </is>
      </c>
      <c r="F98" s="22" t="inlineStr">
        <is>
          <t>Business associate</t>
        </is>
      </c>
      <c r="G98" s="22" t="inlineStr">
        <is>
          <t>Sufficient risk mitigation</t>
        </is>
      </c>
      <c r="H98" s="22" t="inlineStr">
        <is>
          <t>Recipient confirmed receipt and use of data as permitted</t>
        </is>
      </c>
      <c r="I98" s="20" t="inlineStr">
        <is>
          <t>Gate 1b</t>
        </is>
      </c>
      <c r="J98" s="19" t="inlineStr">
        <is>
          <t>MODERATE</t>
        </is>
      </c>
      <c r="K98" s="19" t="inlineStr"/>
      <c r="L98" s="20">
        <f>IF(K98="","—",IF(J98=K98,"MATCH","MISMATCH"))</f>
        <v/>
      </c>
    </row>
    <row r="100" ht="15" customHeight="1">
      <c r="A100" s="29" t="inlineStr">
        <is>
          <t>Gate 3 — Auth + confirmed_viewing + non-obligated → MOD</t>
        </is>
      </c>
    </row>
    <row r="101" ht="15" customHeight="1">
      <c r="A101" s="16" t="n">
        <v>160</v>
      </c>
      <c r="B101" s="17" t="inlineStr">
        <is>
          <t>Gate 3 — Auth + confirmed_viewing + non-obligated → MOD</t>
        </is>
      </c>
      <c r="C101" s="18" t="inlineStr">
        <is>
          <t>Intentional, malicious</t>
        </is>
      </c>
      <c r="D101" s="18" t="inlineStr">
        <is>
          <t>Hacking or malware other than ransomware</t>
        </is>
      </c>
      <c r="E101" s="4" t="inlineStr">
        <is>
          <t>authorized</t>
        </is>
      </c>
      <c r="F101" s="18" t="inlineStr">
        <is>
          <t>Service provider</t>
        </is>
      </c>
      <c r="G101" s="18" t="inlineStr">
        <is>
          <t>Insufficient or unknown risk mitigation</t>
        </is>
      </c>
      <c r="H101" s="18" t="inlineStr">
        <is>
          <t>Confirmed viewing or acquisition without evidence of any improper use</t>
        </is>
      </c>
      <c r="I101" s="16" t="inlineStr">
        <is>
          <t>Gate 3</t>
        </is>
      </c>
      <c r="J101" s="19" t="inlineStr">
        <is>
          <t>MODERATE</t>
        </is>
      </c>
      <c r="K101" s="19" t="inlineStr"/>
      <c r="L101" s="16">
        <f>IF(K101="","—",IF(J101=K101,"MATCH","MISMATCH"))</f>
        <v/>
      </c>
    </row>
    <row r="102" ht="15" customHeight="1">
      <c r="A102" s="20" t="n">
        <v>161</v>
      </c>
      <c r="B102" s="21" t="inlineStr">
        <is>
          <t>Gate 3 — Auth + confirmed_viewing + non-obligated → MOD</t>
        </is>
      </c>
      <c r="C102" s="22" t="inlineStr">
        <is>
          <t>Intentional, malicious</t>
        </is>
      </c>
      <c r="D102" s="22" t="inlineStr">
        <is>
          <t>Hacking or malware other than ransomware</t>
        </is>
      </c>
      <c r="E102" s="6" t="inlineStr">
        <is>
          <t>authorized</t>
        </is>
      </c>
      <c r="F102" s="22" t="inlineStr">
        <is>
          <t>Institutional client</t>
        </is>
      </c>
      <c r="G102" s="22" t="inlineStr">
        <is>
          <t>Insufficient or unknown risk mitigation</t>
        </is>
      </c>
      <c r="H102" s="22" t="inlineStr">
        <is>
          <t>Confirmed viewing or acquisition without evidence of any improper use</t>
        </is>
      </c>
      <c r="I102" s="20" t="inlineStr">
        <is>
          <t>Gate 3</t>
        </is>
      </c>
      <c r="J102" s="19" t="inlineStr">
        <is>
          <t>MODERATE</t>
        </is>
      </c>
      <c r="K102" s="19" t="inlineStr"/>
      <c r="L102" s="20">
        <f>IF(K102="","—",IF(J102=K102,"MATCH","MISMATCH"))</f>
        <v/>
      </c>
    </row>
    <row r="103" ht="15" customHeight="1">
      <c r="A103" s="16" t="n">
        <v>162</v>
      </c>
      <c r="B103" s="17" t="inlineStr">
        <is>
          <t>Gate 3 — Auth + confirmed_viewing + non-obligated → MOD</t>
        </is>
      </c>
      <c r="C103" s="18" t="inlineStr">
        <is>
          <t>Intentional, not malicious</t>
        </is>
      </c>
      <c r="D103" s="18" t="inlineStr">
        <is>
          <t>Unauthorized use</t>
        </is>
      </c>
      <c r="E103" s="4" t="inlineStr">
        <is>
          <t>authorized</t>
        </is>
      </c>
      <c r="F103" s="18" t="inlineStr">
        <is>
          <t>Service provider</t>
        </is>
      </c>
      <c r="G103" s="18" t="inlineStr">
        <is>
          <t>Insufficient or unknown risk mitigation</t>
        </is>
      </c>
      <c r="H103" s="18" t="inlineStr">
        <is>
          <t>Confirmed viewing or acquisition without evidence of any improper use</t>
        </is>
      </c>
      <c r="I103" s="16" t="inlineStr">
        <is>
          <t>Gate 3</t>
        </is>
      </c>
      <c r="J103" s="19" t="inlineStr">
        <is>
          <t>MODERATE</t>
        </is>
      </c>
      <c r="K103" s="19" t="inlineStr"/>
      <c r="L103" s="16">
        <f>IF(K103="","—",IF(J103=K103,"MATCH","MISMATCH"))</f>
        <v/>
      </c>
    </row>
    <row r="105" ht="15" customHeight="1">
      <c r="A105" s="29" t="inlineStr">
        <is>
          <t>Gate 3 — Auth + confirmed_viewing + obligated → HIGH</t>
        </is>
      </c>
    </row>
    <row r="106" ht="15" customHeight="1">
      <c r="A106" s="20" t="n">
        <v>163</v>
      </c>
      <c r="B106" s="21" t="inlineStr">
        <is>
          <t>Gate 3 — Auth + confirmed_viewing + obligated → HIGH</t>
        </is>
      </c>
      <c r="C106" s="22" t="inlineStr">
        <is>
          <t>Intentional, malicious</t>
        </is>
      </c>
      <c r="D106" s="22" t="inlineStr">
        <is>
          <t>Hacking or malware other than ransomware</t>
        </is>
      </c>
      <c r="E106" s="6" t="inlineStr">
        <is>
          <t>authorized</t>
        </is>
      </c>
      <c r="F106" s="22" t="inlineStr">
        <is>
          <t>Covered entity</t>
        </is>
      </c>
      <c r="G106" s="22" t="inlineStr">
        <is>
          <t>Insufficient or unknown risk mitigation</t>
        </is>
      </c>
      <c r="H106" s="22" t="inlineStr">
        <is>
          <t>Confirmed viewing or acquisition without evidence of any improper use</t>
        </is>
      </c>
      <c r="I106" s="20" t="inlineStr">
        <is>
          <t>Gate 3</t>
        </is>
      </c>
      <c r="J106" s="23" t="inlineStr">
        <is>
          <t>HIGH</t>
        </is>
      </c>
      <c r="K106" s="19" t="inlineStr"/>
      <c r="L106" s="20">
        <f>IF(K106="","—",IF(J106=K106,"MATCH","MISMATCH"))</f>
        <v/>
      </c>
    </row>
    <row r="107" ht="15" customHeight="1">
      <c r="A107" s="16" t="n">
        <v>164</v>
      </c>
      <c r="B107" s="17" t="inlineStr">
        <is>
          <t>Gate 3 — Auth + confirmed_viewing + obligated → HIGH</t>
        </is>
      </c>
      <c r="C107" s="18" t="inlineStr">
        <is>
          <t>Intentional, malicious</t>
        </is>
      </c>
      <c r="D107" s="18" t="inlineStr">
        <is>
          <t>Hacking or malware other than ransomware</t>
        </is>
      </c>
      <c r="E107" s="4" t="inlineStr">
        <is>
          <t>authorized</t>
        </is>
      </c>
      <c r="F107" s="18" t="inlineStr">
        <is>
          <t>Business associate</t>
        </is>
      </c>
      <c r="G107" s="18" t="inlineStr">
        <is>
          <t>Insufficient or unknown risk mitigation</t>
        </is>
      </c>
      <c r="H107" s="18" t="inlineStr">
        <is>
          <t>Confirmed viewing or acquisition without evidence of any improper use</t>
        </is>
      </c>
      <c r="I107" s="16" t="inlineStr">
        <is>
          <t>Gate 3</t>
        </is>
      </c>
      <c r="J107" s="23" t="inlineStr">
        <is>
          <t>HIGH</t>
        </is>
      </c>
      <c r="K107" s="19" t="inlineStr"/>
      <c r="L107" s="16">
        <f>IF(K107="","—",IF(J107=K107,"MATCH","MISMATCH"))</f>
        <v/>
      </c>
    </row>
    <row r="108" ht="15" customHeight="1">
      <c r="A108" s="20" t="n">
        <v>165</v>
      </c>
      <c r="B108" s="21" t="inlineStr">
        <is>
          <t>Gate 3 — Auth + confirmed_viewing + obligated → HIGH</t>
        </is>
      </c>
      <c r="C108" s="22" t="inlineStr">
        <is>
          <t>Intentional, malicious</t>
        </is>
      </c>
      <c r="D108" s="22" t="inlineStr">
        <is>
          <t>Hacking or malware other than ransomware</t>
        </is>
      </c>
      <c r="E108" s="6" t="inlineStr">
        <is>
          <t>authorized</t>
        </is>
      </c>
      <c r="F108" s="22" t="inlineStr">
        <is>
          <t>Registered investment advisor</t>
        </is>
      </c>
      <c r="G108" s="22" t="inlineStr">
        <is>
          <t>Insufficient or unknown risk mitigation</t>
        </is>
      </c>
      <c r="H108" s="22" t="inlineStr">
        <is>
          <t>Confirmed viewing or acquisition without evidence of any improper use</t>
        </is>
      </c>
      <c r="I108" s="20" t="inlineStr">
        <is>
          <t>Gate 3</t>
        </is>
      </c>
      <c r="J108" s="23" t="inlineStr">
        <is>
          <t>HIGH</t>
        </is>
      </c>
      <c r="K108" s="19" t="inlineStr"/>
      <c r="L108" s="20">
        <f>IF(K108="","—",IF(J108=K108,"MATCH","MISMATCH"))</f>
        <v/>
      </c>
    </row>
    <row r="110" ht="15" customHeight="1">
      <c r="A110" s="29" t="inlineStr">
        <is>
          <t>Gate 3 — Auth + G3_EXTREME → EXTREME</t>
        </is>
      </c>
    </row>
    <row r="111" ht="15" customHeight="1">
      <c r="A111" s="16" t="n">
        <v>166</v>
      </c>
      <c r="B111" s="17" t="inlineStr">
        <is>
          <t>Gate 3 — Auth + G3_EXTREME → EXTREME</t>
        </is>
      </c>
      <c r="C111" s="18" t="inlineStr">
        <is>
          <t>Intentional, malicious</t>
        </is>
      </c>
      <c r="D111" s="18" t="inlineStr">
        <is>
          <t>Hacking or malware other than ransomware</t>
        </is>
      </c>
      <c r="E111" s="4" t="inlineStr">
        <is>
          <t>authorized</t>
        </is>
      </c>
      <c r="F111" s="18" t="inlineStr">
        <is>
          <t>Covered entity</t>
        </is>
      </c>
      <c r="G111" s="18" t="inlineStr">
        <is>
          <t>Insufficient or unknown risk mitigation</t>
        </is>
      </c>
      <c r="H111" s="18" t="inlineStr">
        <is>
          <t>Confirmed improper use or further exposure</t>
        </is>
      </c>
      <c r="I111" s="16" t="inlineStr">
        <is>
          <t>Gate 3</t>
        </is>
      </c>
      <c r="J111" s="27" t="inlineStr">
        <is>
          <t>EXTREME</t>
        </is>
      </c>
      <c r="K111" s="19" t="inlineStr"/>
      <c r="L111" s="16">
        <f>IF(K111="","—",IF(J111=K111,"MATCH","MISMATCH"))</f>
        <v/>
      </c>
    </row>
    <row r="112" ht="15" customHeight="1">
      <c r="A112" s="20" t="n">
        <v>167</v>
      </c>
      <c r="B112" s="21" t="inlineStr">
        <is>
          <t>Gate 3 — Auth + G3_EXTREME → EXTREME</t>
        </is>
      </c>
      <c r="C112" s="22" t="inlineStr">
        <is>
          <t>Intentional, malicious</t>
        </is>
      </c>
      <c r="D112" s="22" t="inlineStr">
        <is>
          <t>Hacking or malware other than ransomware</t>
        </is>
      </c>
      <c r="E112" s="6" t="inlineStr">
        <is>
          <t>authorized</t>
        </is>
      </c>
      <c r="F112" s="22" t="inlineStr">
        <is>
          <t>Business associate</t>
        </is>
      </c>
      <c r="G112" s="22" t="inlineStr">
        <is>
          <t>Insufficient or unknown risk mitigation</t>
        </is>
      </c>
      <c r="H112" s="22" t="inlineStr">
        <is>
          <t>Confirmed improper use or further exposure</t>
        </is>
      </c>
      <c r="I112" s="20" t="inlineStr">
        <is>
          <t>Gate 3</t>
        </is>
      </c>
      <c r="J112" s="27" t="inlineStr">
        <is>
          <t>EXTREME</t>
        </is>
      </c>
      <c r="K112" s="19" t="inlineStr"/>
      <c r="L112" s="20">
        <f>IF(K112="","—",IF(J112=K112,"MATCH","MISMATCH"))</f>
        <v/>
      </c>
    </row>
    <row r="113" ht="15" customHeight="1">
      <c r="A113" s="16" t="n">
        <v>168</v>
      </c>
      <c r="B113" s="17" t="inlineStr">
        <is>
          <t>Gate 3 — Auth + G3_EXTREME → EXTREME</t>
        </is>
      </c>
      <c r="C113" s="18" t="inlineStr">
        <is>
          <t>Intentional, malicious</t>
        </is>
      </c>
      <c r="D113" s="18" t="inlineStr">
        <is>
          <t>Hacking or malware other than ransomware</t>
        </is>
      </c>
      <c r="E113" s="4" t="inlineStr">
        <is>
          <t>authorized</t>
        </is>
      </c>
      <c r="F113" s="18" t="inlineStr">
        <is>
          <t>Service provider</t>
        </is>
      </c>
      <c r="G113" s="18" t="inlineStr">
        <is>
          <t>Insufficient or unknown risk mitigation</t>
        </is>
      </c>
      <c r="H113" s="18" t="inlineStr">
        <is>
          <t>Confirmed improper use or further exposure</t>
        </is>
      </c>
      <c r="I113" s="16" t="inlineStr">
        <is>
          <t>Gate 3</t>
        </is>
      </c>
      <c r="J113" s="27" t="inlineStr">
        <is>
          <t>EXTREME</t>
        </is>
      </c>
      <c r="K113" s="19" t="inlineStr"/>
      <c r="L113" s="16">
        <f>IF(K113="","—",IF(J113=K113,"MATCH","MISMATCH"))</f>
        <v/>
      </c>
    </row>
    <row r="115" ht="15" customHeight="1">
      <c r="A115" s="29" t="inlineStr">
        <is>
          <t>Gate 3 — Auth + G3_HIGH → HIGH</t>
        </is>
      </c>
    </row>
    <row r="116" ht="15" customHeight="1">
      <c r="A116" s="20" t="n">
        <v>169</v>
      </c>
      <c r="B116" s="21" t="inlineStr">
        <is>
          <t>Gate 3 — Auth + G3_HIGH → HIGH</t>
        </is>
      </c>
      <c r="C116" s="22" t="inlineStr">
        <is>
          <t>Intentional, malicious</t>
        </is>
      </c>
      <c r="D116" s="22" t="inlineStr">
        <is>
          <t>Hacking or malware other than ransomware</t>
        </is>
      </c>
      <c r="E116" s="6" t="inlineStr">
        <is>
          <t>authorized</t>
        </is>
      </c>
      <c r="F116" s="22" t="inlineStr">
        <is>
          <t>Covered entity</t>
        </is>
      </c>
      <c r="G116" s="22" t="inlineStr">
        <is>
          <t>Insufficient or unknown risk mitigation</t>
        </is>
      </c>
      <c r="H116" s="22" t="inlineStr">
        <is>
          <t>Destroyed properly but unsure of backup or copy status</t>
        </is>
      </c>
      <c r="I116" s="20" t="inlineStr">
        <is>
          <t>Gate 3</t>
        </is>
      </c>
      <c r="J116" s="23" t="inlineStr">
        <is>
          <t>HIGH</t>
        </is>
      </c>
      <c r="K116" s="19" t="inlineStr"/>
      <c r="L116" s="20">
        <f>IF(K116="","—",IF(J116=K116,"MATCH","MISMATCH"))</f>
        <v/>
      </c>
    </row>
    <row r="117" ht="15" customHeight="1">
      <c r="A117" s="16" t="n">
        <v>170</v>
      </c>
      <c r="B117" s="17" t="inlineStr">
        <is>
          <t>Gate 3 — Auth + G3_HIGH → HIGH</t>
        </is>
      </c>
      <c r="C117" s="18" t="inlineStr">
        <is>
          <t>Intentional, malicious</t>
        </is>
      </c>
      <c r="D117" s="18" t="inlineStr">
        <is>
          <t>Hacking or malware other than ransomware</t>
        </is>
      </c>
      <c r="E117" s="4" t="inlineStr">
        <is>
          <t>authorized</t>
        </is>
      </c>
      <c r="F117" s="18" t="inlineStr">
        <is>
          <t>Business associate</t>
        </is>
      </c>
      <c r="G117" s="18" t="inlineStr">
        <is>
          <t>Insufficient or unknown risk mitigation</t>
        </is>
      </c>
      <c r="H117" s="18" t="inlineStr">
        <is>
          <t>Destroyed properly but unsure of backup or copy status</t>
        </is>
      </c>
      <c r="I117" s="16" t="inlineStr">
        <is>
          <t>Gate 3</t>
        </is>
      </c>
      <c r="J117" s="23" t="inlineStr">
        <is>
          <t>HIGH</t>
        </is>
      </c>
      <c r="K117" s="19" t="inlineStr"/>
      <c r="L117" s="16">
        <f>IF(K117="","—",IF(J117=K117,"MATCH","MISMATCH"))</f>
        <v/>
      </c>
    </row>
    <row r="118" ht="15" customHeight="1">
      <c r="A118" s="20" t="n">
        <v>171</v>
      </c>
      <c r="B118" s="21" t="inlineStr">
        <is>
          <t>Gate 3 — Auth + G3_HIGH → HIGH</t>
        </is>
      </c>
      <c r="C118" s="22" t="inlineStr">
        <is>
          <t>Intentional, malicious</t>
        </is>
      </c>
      <c r="D118" s="22" t="inlineStr">
        <is>
          <t>Hacking or malware other than ransomware</t>
        </is>
      </c>
      <c r="E118" s="6" t="inlineStr">
        <is>
          <t>authorized</t>
        </is>
      </c>
      <c r="F118" s="22" t="inlineStr">
        <is>
          <t>Service provider</t>
        </is>
      </c>
      <c r="G118" s="22" t="inlineStr">
        <is>
          <t>Insufficient or unknown risk mitigation</t>
        </is>
      </c>
      <c r="H118" s="22" t="inlineStr">
        <is>
          <t>Destroyed properly but unsure of backup or copy status</t>
        </is>
      </c>
      <c r="I118" s="20" t="inlineStr">
        <is>
          <t>Gate 3</t>
        </is>
      </c>
      <c r="J118" s="23" t="inlineStr">
        <is>
          <t>HIGH</t>
        </is>
      </c>
      <c r="K118" s="19" t="inlineStr"/>
      <c r="L118" s="20">
        <f>IF(K118="","—",IF(J118=K118,"MATCH","MISMATCH"))</f>
        <v/>
      </c>
    </row>
    <row r="120" ht="15" customHeight="1">
      <c r="A120" s="29" t="inlineStr">
        <is>
          <t>Gate 3 — Auth + ransomware + malicious → EXTREME</t>
        </is>
      </c>
    </row>
    <row r="121" ht="15" customHeight="1">
      <c r="A121" s="16" t="n">
        <v>172</v>
      </c>
      <c r="B121" s="17" t="inlineStr">
        <is>
          <t>Gate 3 — Auth + ransomware + malicious → EXTREME</t>
        </is>
      </c>
      <c r="C121" s="18" t="inlineStr">
        <is>
          <t>Intentional, malicious</t>
        </is>
      </c>
      <c r="D121" s="18" t="inlineStr">
        <is>
          <t>Hacking or malware other than ransomware</t>
        </is>
      </c>
      <c r="E121" s="4" t="inlineStr">
        <is>
          <t>authorized</t>
        </is>
      </c>
      <c r="F121" s="18" t="inlineStr">
        <is>
          <t>Covered entity</t>
        </is>
      </c>
      <c r="G121" s="18" t="inlineStr">
        <is>
          <t>Insufficient or unknown risk mitigation</t>
        </is>
      </c>
      <c r="H121" s="18" t="inlineStr">
        <is>
          <t>Confirmed ransomware acquisition with high risk to data integrity or availability</t>
        </is>
      </c>
      <c r="I121" s="16" t="inlineStr">
        <is>
          <t>Gate 3</t>
        </is>
      </c>
      <c r="J121" s="27" t="inlineStr">
        <is>
          <t>EXTREME</t>
        </is>
      </c>
      <c r="K121" s="19" t="inlineStr"/>
      <c r="L121" s="16">
        <f>IF(K121="","—",IF(J121=K121,"MATCH","MISMATCH"))</f>
        <v/>
      </c>
    </row>
    <row r="122" ht="15" customHeight="1">
      <c r="A122" s="20" t="n">
        <v>173</v>
      </c>
      <c r="B122" s="21" t="inlineStr">
        <is>
          <t>Gate 3 — Auth + ransomware + malicious → EXTREME</t>
        </is>
      </c>
      <c r="C122" s="22" t="inlineStr">
        <is>
          <t>Intentional, malicious</t>
        </is>
      </c>
      <c r="D122" s="22" t="inlineStr">
        <is>
          <t>Hacking or malware other than ransomware</t>
        </is>
      </c>
      <c r="E122" s="6" t="inlineStr">
        <is>
          <t>authorized</t>
        </is>
      </c>
      <c r="F122" s="22" t="inlineStr">
        <is>
          <t>Business associate</t>
        </is>
      </c>
      <c r="G122" s="22" t="inlineStr">
        <is>
          <t>Insufficient or unknown risk mitigation</t>
        </is>
      </c>
      <c r="H122" s="22" t="inlineStr">
        <is>
          <t>Confirmed ransomware acquisition with high risk to data integrity or availability</t>
        </is>
      </c>
      <c r="I122" s="20" t="inlineStr">
        <is>
          <t>Gate 3</t>
        </is>
      </c>
      <c r="J122" s="27" t="inlineStr">
        <is>
          <t>EXTREME</t>
        </is>
      </c>
      <c r="K122" s="19" t="inlineStr"/>
      <c r="L122" s="20">
        <f>IF(K122="","—",IF(J122=K122,"MATCH","MISMATCH"))</f>
        <v/>
      </c>
    </row>
    <row r="123" ht="15" customHeight="1">
      <c r="A123" s="16" t="n">
        <v>174</v>
      </c>
      <c r="B123" s="17" t="inlineStr">
        <is>
          <t>Gate 3 — Auth + ransomware + malicious → EXTREME</t>
        </is>
      </c>
      <c r="C123" s="18" t="inlineStr">
        <is>
          <t>Intentional, malicious</t>
        </is>
      </c>
      <c r="D123" s="18" t="inlineStr">
        <is>
          <t>Hacking or malware other than ransomware</t>
        </is>
      </c>
      <c r="E123" s="4" t="inlineStr">
        <is>
          <t>authorized</t>
        </is>
      </c>
      <c r="F123" s="18" t="inlineStr">
        <is>
          <t>Service provider</t>
        </is>
      </c>
      <c r="G123" s="18" t="inlineStr">
        <is>
          <t>Insufficient or unknown risk mitigation</t>
        </is>
      </c>
      <c r="H123" s="18" t="inlineStr">
        <is>
          <t>Confirmed ransomware acquisition with high risk to data integrity or availability</t>
        </is>
      </c>
      <c r="I123" s="16" t="inlineStr">
        <is>
          <t>Gate 3</t>
        </is>
      </c>
      <c r="J123" s="27" t="inlineStr">
        <is>
          <t>EXTREME</t>
        </is>
      </c>
      <c r="K123" s="19" t="inlineStr"/>
      <c r="L123" s="16">
        <f>IF(K123="","—",IF(J123=K123,"MATCH","MISMATCH"))</f>
        <v/>
      </c>
    </row>
    <row r="125" ht="15" customHeight="1">
      <c r="A125" s="29" t="inlineStr">
        <is>
          <t>Gate 3 — Unauthorized + malicious/not-malicious → EXTREME</t>
        </is>
      </c>
    </row>
    <row r="126" ht="15" customHeight="1">
      <c r="A126" s="20" t="n">
        <v>175</v>
      </c>
      <c r="B126" s="21" t="inlineStr">
        <is>
          <t>Gate 3 — Unauthorized + malicious/not-malicious → EXTREME</t>
        </is>
      </c>
      <c r="C126" s="22" t="inlineStr">
        <is>
          <t>Intentional, malicious</t>
        </is>
      </c>
      <c r="D126" s="22" t="inlineStr">
        <is>
          <t>Hacking or malware other than ransomware</t>
        </is>
      </c>
      <c r="E126" s="6" t="inlineStr">
        <is>
          <t>unauthorized</t>
        </is>
      </c>
      <c r="F126" s="22" t="inlineStr">
        <is>
          <t>Covered entity</t>
        </is>
      </c>
      <c r="G126" s="22" t="inlineStr">
        <is>
          <t>Insufficient or unknown risk mitigation</t>
        </is>
      </c>
      <c r="H126" s="22" t="inlineStr">
        <is>
          <t>Destroyed properly but unsure of backup or copy status</t>
        </is>
      </c>
      <c r="I126" s="20" t="inlineStr">
        <is>
          <t>Gate 3</t>
        </is>
      </c>
      <c r="J126" s="27" t="inlineStr">
        <is>
          <t>EXTREME</t>
        </is>
      </c>
      <c r="K126" s="19" t="inlineStr"/>
      <c r="L126" s="20">
        <f>IF(K126="","—",IF(J126=K126,"MATCH","MISMATCH"))</f>
        <v/>
      </c>
    </row>
    <row r="127" ht="15" customHeight="1">
      <c r="A127" s="16" t="n">
        <v>176</v>
      </c>
      <c r="B127" s="17" t="inlineStr">
        <is>
          <t>Gate 3 — Unauthorized + malicious/not-malicious → EXTREME</t>
        </is>
      </c>
      <c r="C127" s="18" t="inlineStr">
        <is>
          <t>Intentional, malicious</t>
        </is>
      </c>
      <c r="D127" s="18" t="inlineStr">
        <is>
          <t>Hacking or malware other than ransomware</t>
        </is>
      </c>
      <c r="E127" s="4" t="inlineStr">
        <is>
          <t>unauthorized</t>
        </is>
      </c>
      <c r="F127" s="18" t="inlineStr">
        <is>
          <t>Business associate or state government agency</t>
        </is>
      </c>
      <c r="G127" s="18" t="inlineStr">
        <is>
          <t>Insufficient or unknown risk mitigation</t>
        </is>
      </c>
      <c r="H127" s="18" t="inlineStr">
        <is>
          <t>Destroyed properly but unsure of backup or copy status</t>
        </is>
      </c>
      <c r="I127" s="16" t="inlineStr">
        <is>
          <t>Gate 3</t>
        </is>
      </c>
      <c r="J127" s="27" t="inlineStr">
        <is>
          <t>EXTREME</t>
        </is>
      </c>
      <c r="K127" s="19" t="inlineStr"/>
      <c r="L127" s="16">
        <f>IF(K127="","—",IF(J127=K127,"MATCH","MISMATCH"))</f>
        <v/>
      </c>
    </row>
    <row r="128" ht="15" customHeight="1">
      <c r="A128" s="20" t="n">
        <v>177</v>
      </c>
      <c r="B128" s="21" t="inlineStr">
        <is>
          <t>Gate 3 — Unauthorized + malicious/not-malicious → EXTREME</t>
        </is>
      </c>
      <c r="C128" s="22" t="inlineStr">
        <is>
          <t>Intentional, malicious</t>
        </is>
      </c>
      <c r="D128" s="22" t="inlineStr">
        <is>
          <t>Hacking or malware other than ransomware</t>
        </is>
      </c>
      <c r="E128" s="6" t="inlineStr">
        <is>
          <t>unauthorized</t>
        </is>
      </c>
      <c r="F128" s="22" t="inlineStr">
        <is>
          <t>Business associate</t>
        </is>
      </c>
      <c r="G128" s="22" t="inlineStr">
        <is>
          <t>Insufficient or unknown risk mitigation</t>
        </is>
      </c>
      <c r="H128" s="22" t="inlineStr">
        <is>
          <t>Destroyed properly but unsure of backup or copy status</t>
        </is>
      </c>
      <c r="I128" s="20" t="inlineStr">
        <is>
          <t>Gate 3</t>
        </is>
      </c>
      <c r="J128" s="27" t="inlineStr">
        <is>
          <t>EXTREME</t>
        </is>
      </c>
      <c r="K128" s="19" t="inlineStr"/>
      <c r="L128" s="20">
        <f>IF(K128="","—",IF(J128=K128,"MATCH","MISMATCH"))</f>
        <v/>
      </c>
    </row>
    <row r="130" ht="15" customHeight="1">
      <c r="A130" s="29" t="inlineStr">
        <is>
          <t>Gate 3 — Unauth + unintentional + G3_EXTREME → EXTREME</t>
        </is>
      </c>
    </row>
    <row r="131" ht="15" customHeight="1">
      <c r="A131" s="16" t="n">
        <v>178</v>
      </c>
      <c r="B131" s="17" t="inlineStr">
        <is>
          <t>Gate 3 — Unauth + unintentional + G3_EXTREME → EXTREME</t>
        </is>
      </c>
      <c r="C131" s="18" t="inlineStr">
        <is>
          <t>Unintentional or inadvertent</t>
        </is>
      </c>
      <c r="D131" s="18" t="inlineStr">
        <is>
          <t>Disclosure</t>
        </is>
      </c>
      <c r="E131" s="4" t="inlineStr">
        <is>
          <t>unauthorized</t>
        </is>
      </c>
      <c r="F131" s="18" t="inlineStr">
        <is>
          <t>Service provider</t>
        </is>
      </c>
      <c r="G131" s="18" t="inlineStr">
        <is>
          <t>Insufficient or unknown risk mitigation</t>
        </is>
      </c>
      <c r="H131" s="18" t="inlineStr">
        <is>
          <t>Confirmed improper use or further exposure</t>
        </is>
      </c>
      <c r="I131" s="16" t="inlineStr">
        <is>
          <t>Gate 3</t>
        </is>
      </c>
      <c r="J131" s="27" t="inlineStr">
        <is>
          <t>EXTREME</t>
        </is>
      </c>
      <c r="K131" s="19" t="inlineStr"/>
      <c r="L131" s="16">
        <f>IF(K131="","—",IF(J131=K131,"MATCH","MISMATCH"))</f>
        <v/>
      </c>
    </row>
    <row r="132" ht="15" customHeight="1">
      <c r="A132" s="20" t="n">
        <v>179</v>
      </c>
      <c r="B132" s="21" t="inlineStr">
        <is>
          <t>Gate 3 — Unauth + unintentional + G3_EXTREME → EXTREME</t>
        </is>
      </c>
      <c r="C132" s="22" t="inlineStr">
        <is>
          <t>Unintentional or inadvertent</t>
        </is>
      </c>
      <c r="D132" s="22" t="inlineStr">
        <is>
          <t>Disclosure</t>
        </is>
      </c>
      <c r="E132" s="6" t="inlineStr">
        <is>
          <t>unauthorized</t>
        </is>
      </c>
      <c r="F132" s="22" t="inlineStr">
        <is>
          <t>Institutional client</t>
        </is>
      </c>
      <c r="G132" s="22" t="inlineStr">
        <is>
          <t>Insufficient or unknown risk mitigation</t>
        </is>
      </c>
      <c r="H132" s="22" t="inlineStr">
        <is>
          <t>Confirmed improper use or further exposure</t>
        </is>
      </c>
      <c r="I132" s="20" t="inlineStr">
        <is>
          <t>Gate 3</t>
        </is>
      </c>
      <c r="J132" s="27" t="inlineStr">
        <is>
          <t>EXTREME</t>
        </is>
      </c>
      <c r="K132" s="19" t="inlineStr"/>
      <c r="L132" s="20">
        <f>IF(K132="","—",IF(J132=K132,"MATCH","MISMATCH"))</f>
        <v/>
      </c>
    </row>
    <row r="133" ht="15" customHeight="1">
      <c r="A133" s="16" t="n">
        <v>180</v>
      </c>
      <c r="B133" s="17" t="inlineStr">
        <is>
          <t>Gate 3 — Unauth + unintentional + G3_EXTREME → EXTREME</t>
        </is>
      </c>
      <c r="C133" s="18" t="inlineStr">
        <is>
          <t>Unintentional or inadvertent</t>
        </is>
      </c>
      <c r="D133" s="18" t="inlineStr">
        <is>
          <t>Disclosure</t>
        </is>
      </c>
      <c r="E133" s="4" t="inlineStr">
        <is>
          <t>unauthorized</t>
        </is>
      </c>
      <c r="F133" s="18" t="inlineStr">
        <is>
          <t>Vendor</t>
        </is>
      </c>
      <c r="G133" s="18" t="inlineStr">
        <is>
          <t>Insufficient or unknown risk mitigation</t>
        </is>
      </c>
      <c r="H133" s="18" t="inlineStr">
        <is>
          <t>Confirmed improper use or further exposure</t>
        </is>
      </c>
      <c r="I133" s="16" t="inlineStr">
        <is>
          <t>Gate 3</t>
        </is>
      </c>
      <c r="J133" s="27" t="inlineStr">
        <is>
          <t>EXTREME</t>
        </is>
      </c>
      <c r="K133" s="19" t="inlineStr"/>
      <c r="L133" s="16">
        <f>IF(K133="","—",IF(J133=K133,"MATCH","MISMATCH"))</f>
        <v/>
      </c>
    </row>
    <row r="135" ht="15" customHeight="1">
      <c r="A135" s="29" t="inlineStr">
        <is>
          <t>Gate 3 — Unauth + unintentional + obligated desc → HIGH</t>
        </is>
      </c>
    </row>
    <row r="136" ht="15" customHeight="1">
      <c r="A136" s="20" t="n">
        <v>181</v>
      </c>
      <c r="B136" s="21" t="inlineStr">
        <is>
          <t>Gate 3 — Unauth + unintentional + obligated desc → HIGH</t>
        </is>
      </c>
      <c r="C136" s="22" t="inlineStr">
        <is>
          <t>Unintentional or inadvertent</t>
        </is>
      </c>
      <c r="D136" s="22" t="inlineStr">
        <is>
          <t>Disclosure</t>
        </is>
      </c>
      <c r="E136" s="6" t="inlineStr">
        <is>
          <t>unauthorized</t>
        </is>
      </c>
      <c r="F136" s="22" t="inlineStr">
        <is>
          <t>Covered entity</t>
        </is>
      </c>
      <c r="G136" s="22" t="inlineStr">
        <is>
          <t>Insufficient or unknown risk mitigation</t>
        </is>
      </c>
      <c r="H136" s="22" t="inlineStr">
        <is>
          <t>Destroyed properly but unsure of backup or copy status</t>
        </is>
      </c>
      <c r="I136" s="20" t="inlineStr">
        <is>
          <t>Gate 3</t>
        </is>
      </c>
      <c r="J136" s="23" t="inlineStr">
        <is>
          <t>HIGH</t>
        </is>
      </c>
      <c r="K136" s="19" t="inlineStr"/>
      <c r="L136" s="20">
        <f>IF(K136="","—",IF(J136=K136,"MATCH","MISMATCH"))</f>
        <v/>
      </c>
    </row>
    <row r="137" ht="15" customHeight="1">
      <c r="A137" s="16" t="n">
        <v>182</v>
      </c>
      <c r="B137" s="17" t="inlineStr">
        <is>
          <t>Gate 3 — Unauth + unintentional + obligated desc → HIGH</t>
        </is>
      </c>
      <c r="C137" s="18" t="inlineStr">
        <is>
          <t>Unintentional or inadvertent</t>
        </is>
      </c>
      <c r="D137" s="18" t="inlineStr">
        <is>
          <t>Disclosure</t>
        </is>
      </c>
      <c r="E137" s="4" t="inlineStr">
        <is>
          <t>unauthorized</t>
        </is>
      </c>
      <c r="F137" s="18" t="inlineStr">
        <is>
          <t>Business associate or state government agency</t>
        </is>
      </c>
      <c r="G137" s="18" t="inlineStr">
        <is>
          <t>Insufficient or unknown risk mitigation</t>
        </is>
      </c>
      <c r="H137" s="18" t="inlineStr">
        <is>
          <t>Destroyed properly but unsure of backup or copy status</t>
        </is>
      </c>
      <c r="I137" s="16" t="inlineStr">
        <is>
          <t>Gate 3</t>
        </is>
      </c>
      <c r="J137" s="23" t="inlineStr">
        <is>
          <t>HIGH</t>
        </is>
      </c>
      <c r="K137" s="19" t="inlineStr"/>
      <c r="L137" s="16">
        <f>IF(K137="","—",IF(J137=K137,"MATCH","MISMATCH"))</f>
        <v/>
      </c>
    </row>
    <row r="138" ht="15" customHeight="1">
      <c r="A138" s="20" t="n">
        <v>183</v>
      </c>
      <c r="B138" s="21" t="inlineStr">
        <is>
          <t>Gate 3 — Unauth + unintentional + obligated desc → HIGH</t>
        </is>
      </c>
      <c r="C138" s="22" t="inlineStr">
        <is>
          <t>Unintentional or inadvertent</t>
        </is>
      </c>
      <c r="D138" s="22" t="inlineStr">
        <is>
          <t>Disclosure</t>
        </is>
      </c>
      <c r="E138" s="6" t="inlineStr">
        <is>
          <t>unauthorized</t>
        </is>
      </c>
      <c r="F138" s="22" t="inlineStr">
        <is>
          <t>Business associate</t>
        </is>
      </c>
      <c r="G138" s="22" t="inlineStr">
        <is>
          <t>Insufficient or unknown risk mitigation</t>
        </is>
      </c>
      <c r="H138" s="22" t="inlineStr">
        <is>
          <t>Destroyed properly but unsure of backup or copy status</t>
        </is>
      </c>
      <c r="I138" s="20" t="inlineStr">
        <is>
          <t>Gate 3</t>
        </is>
      </c>
      <c r="J138" s="23" t="inlineStr">
        <is>
          <t>HIGH</t>
        </is>
      </c>
      <c r="K138" s="19" t="inlineStr"/>
      <c r="L138" s="20">
        <f>IF(K138="","—",IF(J138=K138,"MATCH","MISMATCH"))</f>
        <v/>
      </c>
    </row>
    <row r="140" ht="15" customHeight="1">
      <c r="A140" s="29" t="inlineStr">
        <is>
          <t>Gate 3 — Unauth + unintentional + other mit → HIGH</t>
        </is>
      </c>
    </row>
    <row r="141" ht="15" customHeight="1">
      <c r="A141" s="16" t="n">
        <v>184</v>
      </c>
      <c r="B141" s="17" t="inlineStr">
        <is>
          <t>Gate 3 — Unauth + unintentional + other mit → HIGH</t>
        </is>
      </c>
      <c r="C141" s="18" t="inlineStr">
        <is>
          <t>Unintentional or inadvertent</t>
        </is>
      </c>
      <c r="D141" s="18" t="inlineStr">
        <is>
          <t>Disclosure</t>
        </is>
      </c>
      <c r="E141" s="4" t="inlineStr">
        <is>
          <t>unauthorized</t>
        </is>
      </c>
      <c r="F141" s="18" t="inlineStr">
        <is>
          <t>Service provider</t>
        </is>
      </c>
      <c r="G141" s="18" t="inlineStr">
        <is>
          <t>Insufficient or unknown risk mitigation</t>
        </is>
      </c>
      <c r="H141" s="18" t="inlineStr">
        <is>
          <t>Destroyed properly but unsure of backup or copy status</t>
        </is>
      </c>
      <c r="I141" s="16" t="inlineStr">
        <is>
          <t>Gate 3</t>
        </is>
      </c>
      <c r="J141" s="23" t="inlineStr">
        <is>
          <t>HIGH</t>
        </is>
      </c>
      <c r="K141" s="19" t="inlineStr"/>
      <c r="L141" s="16">
        <f>IF(K141="","—",IF(J141=K141,"MATCH","MISMATCH"))</f>
        <v/>
      </c>
    </row>
    <row r="142" ht="15" customHeight="1">
      <c r="A142" s="20" t="n">
        <v>185</v>
      </c>
      <c r="B142" s="21" t="inlineStr">
        <is>
          <t>Gate 3 — Unauth + unintentional + other mit → HIGH</t>
        </is>
      </c>
      <c r="C142" s="22" t="inlineStr">
        <is>
          <t>Unintentional or inadvertent</t>
        </is>
      </c>
      <c r="D142" s="22" t="inlineStr">
        <is>
          <t>Disclosure</t>
        </is>
      </c>
      <c r="E142" s="6" t="inlineStr">
        <is>
          <t>unauthorized</t>
        </is>
      </c>
      <c r="F142" s="22" t="inlineStr">
        <is>
          <t>Institutional client</t>
        </is>
      </c>
      <c r="G142" s="22" t="inlineStr">
        <is>
          <t>Insufficient or unknown risk mitigation</t>
        </is>
      </c>
      <c r="H142" s="22" t="inlineStr">
        <is>
          <t>Destroyed properly but unsure of backup or copy status</t>
        </is>
      </c>
      <c r="I142" s="20" t="inlineStr">
        <is>
          <t>Gate 3</t>
        </is>
      </c>
      <c r="J142" s="23" t="inlineStr">
        <is>
          <t>HIGH</t>
        </is>
      </c>
      <c r="K142" s="19" t="inlineStr"/>
      <c r="L142" s="20">
        <f>IF(K142="","—",IF(J142=K142,"MATCH","MISMATCH"))</f>
        <v/>
      </c>
    </row>
    <row r="143" ht="15" customHeight="1">
      <c r="A143" s="16" t="n">
        <v>186</v>
      </c>
      <c r="B143" s="17" t="inlineStr">
        <is>
          <t>Gate 3 — Unauth + unintentional + other mit → HIGH</t>
        </is>
      </c>
      <c r="C143" s="18" t="inlineStr">
        <is>
          <t>Unintentional or inadvertent</t>
        </is>
      </c>
      <c r="D143" s="18" t="inlineStr">
        <is>
          <t>Disclosure</t>
        </is>
      </c>
      <c r="E143" s="4" t="inlineStr">
        <is>
          <t>unauthorized</t>
        </is>
      </c>
      <c r="F143" s="18" t="inlineStr">
        <is>
          <t>Vendor</t>
        </is>
      </c>
      <c r="G143" s="18" t="inlineStr">
        <is>
          <t>Insufficient or unknown risk mitigation</t>
        </is>
      </c>
      <c r="H143" s="18" t="inlineStr">
        <is>
          <t>Destroyed properly but unsure of backup or copy status</t>
        </is>
      </c>
      <c r="I143" s="16" t="inlineStr">
        <is>
          <t>Gate 3</t>
        </is>
      </c>
      <c r="J143" s="23" t="inlineStr">
        <is>
          <t>HIGH</t>
        </is>
      </c>
      <c r="K143" s="19" t="inlineStr"/>
      <c r="L143" s="16">
        <f>IF(K143="","—",IF(J143=K143,"MATCH","MISMATCH"))</f>
        <v/>
      </c>
    </row>
    <row r="145" ht="14" customHeight="1">
      <c r="A145" s="24" t="inlineStr">
        <is>
          <t>Instructions: Run each case in RadarFirst (Paper · Under physical safeguard). Enter result in col K. Col L auto-calculates MATCH/MISMATCH.</t>
        </is>
      </c>
    </row>
  </sheetData>
  <mergeCells count="33">
    <mergeCell ref="A78:L78"/>
    <mergeCell ref="A90:L90"/>
    <mergeCell ref="A120:L120"/>
    <mergeCell ref="A105:L105"/>
    <mergeCell ref="A145:L145"/>
    <mergeCell ref="A57:L57"/>
    <mergeCell ref="A95:L95"/>
    <mergeCell ref="A86:L86"/>
    <mergeCell ref="A14:L14"/>
    <mergeCell ref="A135:L135"/>
    <mergeCell ref="A140:L140"/>
    <mergeCell ref="A4:L4"/>
    <mergeCell ref="A100:L100"/>
    <mergeCell ref="A125:L125"/>
    <mergeCell ref="A29:L29"/>
    <mergeCell ref="A52:L52"/>
    <mergeCell ref="A43:L43"/>
    <mergeCell ref="A19:L19"/>
    <mergeCell ref="A115:L115"/>
    <mergeCell ref="A9:L9"/>
    <mergeCell ref="A130:L130"/>
    <mergeCell ref="A39:L39"/>
    <mergeCell ref="A34:L34"/>
    <mergeCell ref="A48:L48"/>
    <mergeCell ref="A24:L24"/>
    <mergeCell ref="A73:L73"/>
    <mergeCell ref="A64:L64"/>
    <mergeCell ref="A82:L82"/>
    <mergeCell ref="A60:L60"/>
    <mergeCell ref="A1:L1"/>
    <mergeCell ref="A110:L110"/>
    <mergeCell ref="A2:M2"/>
    <mergeCell ref="A69:L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2026-03-24T04:17:00Z</dcterms:created>
  <dcterms:modified xmlns:dcterms="http://purl.org/dc/terms/" xmlns:xsi="http://www.w3.org/2001/XMLSchema-instance" xsi:type="dcterms:W3CDTF">2026-03-24T04:17:00Z</dcterms:modified>
</cp:coreProperties>
</file>