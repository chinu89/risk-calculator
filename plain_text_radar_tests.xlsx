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ar Test Cases" sheetId="1" r:id="rId4"/>
    <sheet state="visible" name="Decision Path Reference" sheetId="2" r:id="rId5"/>
  </sheets>
  <definedNames/>
  <calcPr/>
  <extLst>
    <ext uri="GoogleSheetsCustomDataVersion2">
      <go:sheetsCustomData xmlns:go="http://customooxmlschemas.google.com/" r:id="rId6" roundtripDataChecksum="rkGWIt8YD/023gqNg4eu2IB7hmqB4BoJTeGs7RdjAiQ="/>
    </ext>
  </extLst>
</workbook>
</file>

<file path=xl/sharedStrings.xml><?xml version="1.0" encoding="utf-8"?>
<sst xmlns="http://schemas.openxmlformats.org/spreadsheetml/2006/main" count="878" uniqueCount="208">
  <si>
    <t>Paper · In Plain Text — Untested Cases for Radar Verification  |  v12 Prediction in col L · Enter Radar result in col M · Match auto-calculates in col N</t>
  </si>
  <si>
    <t>70 cases · 14 decision paths covered · Category = Paper · Protection = In plain text (score 0.85) · Compromise = Disclosure (representative)</t>
  </si>
  <si>
    <t>#</t>
  </si>
  <si>
    <t>Decision Path</t>
  </si>
  <si>
    <t>Incident Nature</t>
  </si>
  <si>
    <t>Compromise</t>
  </si>
  <si>
    <t>Recipient Type</t>
  </si>
  <si>
    <t>Recipient Description</t>
  </si>
  <si>
    <t>Disposition</t>
  </si>
  <si>
    <t>Mitigation</t>
  </si>
  <si>
    <t>Gate</t>
  </si>
  <si>
    <t>v12 Prediction</t>
  </si>
  <si>
    <t>Radar Result
(enter here)</t>
  </si>
  <si>
    <t>Match</t>
  </si>
  <si>
    <t>Gate 1a — Confirmed safe (std)</t>
  </si>
  <si>
    <t>PT001</t>
  </si>
  <si>
    <t>Intentional, malicious</t>
  </si>
  <si>
    <t>Disclosure</t>
  </si>
  <si>
    <t>authorized</t>
  </si>
  <si>
    <t>Business associate</t>
  </si>
  <si>
    <t>Sufficient risk mitigation</t>
  </si>
  <si>
    <t>Forensic analysis concluded that regulated data was not compromised</t>
  </si>
  <si>
    <t>Gate 1a</t>
  </si>
  <si>
    <t>LOW</t>
  </si>
  <si>
    <t>PT002</t>
  </si>
  <si>
    <t>Service provider</t>
  </si>
  <si>
    <t>Recipient could not reasonably retain the data</t>
  </si>
  <si>
    <t>PT003</t>
  </si>
  <si>
    <t>unauthorized</t>
  </si>
  <si>
    <t>Vendor</t>
  </si>
  <si>
    <t>Recovered or restored from backup without high risk to data integrity or availability</t>
  </si>
  <si>
    <t>MODERATE</t>
  </si>
  <si>
    <t>HIGH</t>
  </si>
  <si>
    <t>PT004</t>
  </si>
  <si>
    <t>Member of general public</t>
  </si>
  <si>
    <t>PT005</t>
  </si>
  <si>
    <t>Intentional, not malicious</t>
  </si>
  <si>
    <t>Covered entity</t>
  </si>
  <si>
    <t>PT006</t>
  </si>
  <si>
    <t>Relative or household member of patient, insured member, or customer</t>
  </si>
  <si>
    <t>PT007</t>
  </si>
  <si>
    <t>Unintentional or inadvertent</t>
  </si>
  <si>
    <t>Federal agency obligated to Privacy Act of 1974 and FISMA</t>
  </si>
  <si>
    <t>PT008</t>
  </si>
  <si>
    <t>Customer</t>
  </si>
  <si>
    <t>Recipient had the opportunity, but did not view, access, transfer, or use the data (unopened returned mail)</t>
  </si>
  <si>
    <t>Gate 1a — Confirmed safe (exception → MOD)</t>
  </si>
  <si>
    <t>PT009</t>
  </si>
  <si>
    <t>PT010</t>
  </si>
  <si>
    <t>PT011</t>
  </si>
  <si>
    <t>Patient, insured member, or customer</t>
  </si>
  <si>
    <t>PT012</t>
  </si>
  <si>
    <t>Employee, workforce member, or agent of the entity</t>
  </si>
  <si>
    <t>Gate 1a — Satisfactory + auth obligated</t>
  </si>
  <si>
    <t>PT013</t>
  </si>
  <si>
    <t>Satisfactory assurance was obtained from a recipient that is obligated to protect personal data by law and/or contract</t>
  </si>
  <si>
    <t>PT014</t>
  </si>
  <si>
    <t>PT015</t>
  </si>
  <si>
    <t>PT016</t>
  </si>
  <si>
    <t>Organized health care arrangement (OHCA)</t>
  </si>
  <si>
    <t>Gate 1a — No-written + auth obligated</t>
  </si>
  <si>
    <t>PT017</t>
  </si>
  <si>
    <t>No written assurance was provided</t>
  </si>
  <si>
    <t>PT018</t>
  </si>
  <si>
    <t>PT019</t>
  </si>
  <si>
    <t>PT020</t>
  </si>
  <si>
    <t>No written assurance was obtained</t>
  </si>
  <si>
    <t>Gate 1b — Hacker/media + malicious → EXT</t>
  </si>
  <si>
    <t>PT021</t>
  </si>
  <si>
    <t>Hacker or thief</t>
  </si>
  <si>
    <t>Written assurance was obtained (confidentiality agreement, attestation)</t>
  </si>
  <si>
    <t>Gate 1b</t>
  </si>
  <si>
    <t>EXTREME</t>
  </si>
  <si>
    <t>PT022</t>
  </si>
  <si>
    <t>Media</t>
  </si>
  <si>
    <t>PT023</t>
  </si>
  <si>
    <t>Appropriate actions to sufficiently mitigate risk were taken in accordance with company policy</t>
  </si>
  <si>
    <t>N/A</t>
  </si>
  <si>
    <t>PT024</t>
  </si>
  <si>
    <t>Since recipient is obligated to protect personal data by law and/or contract, no assurance was obtained</t>
  </si>
  <si>
    <t>Gate 1b — Hacker/media + not-malicious → HIGH</t>
  </si>
  <si>
    <t>PT025</t>
  </si>
  <si>
    <t>PT026</t>
  </si>
  <si>
    <t>PT027</t>
  </si>
  <si>
    <t>PT028</t>
  </si>
  <si>
    <t>Gate 1b — Other unauth + malicious → HIGH</t>
  </si>
  <si>
    <t>PT029</t>
  </si>
  <si>
    <t>PT030</t>
  </si>
  <si>
    <t>PT031</t>
  </si>
  <si>
    <t>Partner or significant other not in the household</t>
  </si>
  <si>
    <t>Written assurance was provided (confidentiality agreement, attestation)</t>
  </si>
  <si>
    <t>PT032</t>
  </si>
  <si>
    <t>Attorney or law firm</t>
  </si>
  <si>
    <t>PT033</t>
  </si>
  <si>
    <t>Recipient confirmed receipt and use of data as permitted</t>
  </si>
  <si>
    <t>Gate 1b — Other unauth + not-malicious → MOD</t>
  </si>
  <si>
    <t>PT034</t>
  </si>
  <si>
    <t>PT035</t>
  </si>
  <si>
    <t>PT036</t>
  </si>
  <si>
    <t>PT037</t>
  </si>
  <si>
    <t>Gate 1b — Authorized obligated → MOD</t>
  </si>
  <si>
    <t>PT038</t>
  </si>
  <si>
    <t>PT039</t>
  </si>
  <si>
    <t>PT040</t>
  </si>
  <si>
    <t>PT041</t>
  </si>
  <si>
    <t>No written assurance was obtained since recipient (CE or BA) is obligated to safeguard regulated data</t>
  </si>
  <si>
    <t>Gate 1b — Authorized non-obligated → MOD</t>
  </si>
  <si>
    <t>PT042</t>
  </si>
  <si>
    <t>PT043</t>
  </si>
  <si>
    <t>Institutional client</t>
  </si>
  <si>
    <t>PT044</t>
  </si>
  <si>
    <t>PT045</t>
  </si>
  <si>
    <t>Gate 3 — Unauthorized → EXTREME</t>
  </si>
  <si>
    <t>PT046</t>
  </si>
  <si>
    <t>Insufficient or unknown risk mitigation</t>
  </si>
  <si>
    <t>Confirmed improper use or further exposure</t>
  </si>
  <si>
    <t>Gate 3</t>
  </si>
  <si>
    <t>PT047</t>
  </si>
  <si>
    <t>Unknown</t>
  </si>
  <si>
    <t>PT048</t>
  </si>
  <si>
    <t>Data has been sent to media or published</t>
  </si>
  <si>
    <t>PT049</t>
  </si>
  <si>
    <t>High risk data, namely SSN, or other personal information exposed</t>
  </si>
  <si>
    <t>PT050</t>
  </si>
  <si>
    <t>PT051</t>
  </si>
  <si>
    <t>Gate 3 — Unauthorized (high mits) → EXTREME</t>
  </si>
  <si>
    <t>PT052</t>
  </si>
  <si>
    <t>Unable to retrieve or unsure of disposition</t>
  </si>
  <si>
    <t>PT053</t>
  </si>
  <si>
    <t>Confirmed viewing or acquisition without evidence of any improper use by recipient</t>
  </si>
  <si>
    <t>PT054</t>
  </si>
  <si>
    <t>Confirmed ransomware acquisition with high risk to data integrity or availability</t>
  </si>
  <si>
    <t>PT055</t>
  </si>
  <si>
    <t>Gate 3 — Unauthorized (mod mits) → EXTREME</t>
  </si>
  <si>
    <t>PT056</t>
  </si>
  <si>
    <t>Destroyed properly but unsure of backup or copy status</t>
  </si>
  <si>
    <t>PT057</t>
  </si>
  <si>
    <t>Gate 3 — Auth G3_EXTREME → EXTREME</t>
  </si>
  <si>
    <t>PT058</t>
  </si>
  <si>
    <t>PT059</t>
  </si>
  <si>
    <t>PT060</t>
  </si>
  <si>
    <t>PT061</t>
  </si>
  <si>
    <t>PT062</t>
  </si>
  <si>
    <t>Gate 3 — Auth G3_HIGH → HIGH</t>
  </si>
  <si>
    <t>PT063</t>
  </si>
  <si>
    <t>PT064</t>
  </si>
  <si>
    <t>PT065</t>
  </si>
  <si>
    <t>PT066</t>
  </si>
  <si>
    <t>PT067</t>
  </si>
  <si>
    <t>Gate 3 — Auth G3_MODERATE → MOD</t>
  </si>
  <si>
    <t>PT068</t>
  </si>
  <si>
    <t>PT069</t>
  </si>
  <si>
    <t>PT070</t>
  </si>
  <si>
    <t>Instructions: Run each case in RadarFirst using Paper · In Plain Text. Enter the result (LOW / MODERATE / HIGH / EXTREME) in column K. Column L auto-calculates MATCH or MISMATCH.</t>
  </si>
  <si>
    <t>v12 Decision Tree — Plain Text (0.85) Path Reference</t>
  </si>
  <si>
    <t>Trigger Conditions</t>
  </si>
  <si>
    <t>Expected Result</t>
  </si>
  <si>
    <t>Test Cases</t>
  </si>
  <si>
    <t>Confidence</t>
  </si>
  <si>
    <t>Notes</t>
  </si>
  <si>
    <t>Gate 1a — Confirmed safe (standard)</t>
  </si>
  <si>
    <t>Mit = forensic/backup/unopened/no_retain
OR satisfactory/no_written + auth + obligated</t>
  </si>
  <si>
    <t>Tested (P2,P3,Q5,T3,T4,R1,F1,F2)</t>
  </si>
  <si>
    <t>Already verified for paper. New cases test additional recipient descriptions.</t>
  </si>
  <si>
    <t>Gate 1a — Exception: unauth + malicious</t>
  </si>
  <si>
    <t>Same as above BUT recip=unauthorized AND nature≥0.80</t>
  </si>
  <si>
    <t>Tested (T2)</t>
  </si>
  <si>
    <t>T2 confirmed for hacker. New cases test other unauthorized recipients (vendor, public, patient, employee).</t>
  </si>
  <si>
    <t>Mit=satisfactory AND recip=authorized AND rec_desc in LEGALLY_OBLIGATED</t>
  </si>
  <si>
    <t>Tested (R1)</t>
  </si>
  <si>
    <t>R1 tested BA. New cases cover federal_agency, CE, OHCA across 3 nature scores.</t>
  </si>
  <si>
    <t>Mit=no_written_obtained/provided AND recip=authorized AND rec_desc in LEGALLY_OBLIGATED</t>
  </si>
  <si>
    <t>Tested (F1,F2)</t>
  </si>
  <si>
    <t>F1/F2 confirmed for federal_agency and CE. New cases test no_written_PROVIDED and other recipients.</t>
  </si>
  <si>
    <t>Gate 1b — Hacker/media + malicious</t>
  </si>
  <si>
    <t>Mit in ASSURED_SAFE AND rec_desc=hacker or media AND nature≥0.80</t>
  </si>
  <si>
    <t>Untested for plain text</t>
  </si>
  <si>
    <t>F4 confirmed for redacted. Plain text untested — most critical new test.</t>
  </si>
  <si>
    <t>Gate 1b — Hacker/media + not-malicious</t>
  </si>
  <si>
    <t>Mit in ASSURED_SAFE AND rec_desc=hacker or media AND nature&lt;0.80</t>
  </si>
  <si>
    <t>Tested (F3)</t>
  </si>
  <si>
    <t>F3 confirmed for plain text + hacker. New cases cover media + varied nature + varied mits.</t>
  </si>
  <si>
    <t>Gate 1b — Other unauth + malicious</t>
  </si>
  <si>
    <t>Mit in ASSURED_SAFE AND recip=unauthorized AND rec_desc≠hacker/media AND nature≥0.80</t>
  </si>
  <si>
    <t>Tested (V1,V3)</t>
  </si>
  <si>
    <t>V1 (partner) and V3 (unauth BA) confirmed. New cases cover vendor, public, attorney, employee.</t>
  </si>
  <si>
    <t>Gate 1b — Other unauth + not-malicious</t>
  </si>
  <si>
    <t>Mit in ASSURED_SAFE AND recip=unauthorized AND rec_desc≠hacker/media AND nature&lt;0.80</t>
  </si>
  <si>
    <t>Expected MODERATE based on tree. Needs empirical confirmation across different recipients.</t>
  </si>
  <si>
    <t>Gate 1b — Authorized obligated</t>
  </si>
  <si>
    <t>Mit in ASSURED_SAFE AND recip=authorized AND rec_desc in LEGALLY_OBLIGATED</t>
  </si>
  <si>
    <t>Tested (Q6,R1 adjacent)</t>
  </si>
  <si>
    <t>Q6 (CE + obligated_no_assurance) confirmed. New cases cover CE/BA/federal across written mits.</t>
  </si>
  <si>
    <t>Gate 1b — Authorized non-obligated</t>
  </si>
  <si>
    <t>Mit in ASSURED_SAFE AND recip=authorized AND rec_desc NOT in LEGALLY_OBLIGATED</t>
  </si>
  <si>
    <t>service_provider, institutional_client are non-obligated authorized. Tree predicts MODERATE.</t>
  </si>
  <si>
    <t>Mit in G3 (insuff) AND recip=unauthorized (any description)</t>
  </si>
  <si>
    <t>Tested (N3,T1)</t>
  </si>
  <si>
    <t>N3/T1 confirmed for redacted. New cases confirm plain text + varied unauthorized recipients.</t>
  </si>
  <si>
    <t>Mit in G3_EXTREME (improper_use/unknown/sent_to_media/ssn_exposed) AND recip=authorized</t>
  </si>
  <si>
    <t>Tested (P4,N1,S2,S3)</t>
  </si>
  <si>
    <t>All tested with redacted. P4 tested unknown_mit with plain text + CE. Needs broader coverage.</t>
  </si>
  <si>
    <t>Mit in G3_HIGH (unable_retrieve/confirmed_viewing/ransomware_confirmed) AND recip=authorized</t>
  </si>
  <si>
    <t>Tested (N9,S1,S4,C3)</t>
  </si>
  <si>
    <t>Confirmed for redacted/physical safeguard. Plain text untested for confirmed_viewing/ransomware.</t>
  </si>
  <si>
    <t>Gate 3 — Auth G3_MODERATE → MODERATE</t>
  </si>
  <si>
    <t>Mit=unsure_backup AND recip=authorized</t>
  </si>
  <si>
    <t>Only G3_MODERATE key. Needs plain text confirmation — batch 9 corrections were all readable.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</si>
</sst>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9.0"/>
      <color rgb="FF1E3A5F"/>
      <name val="Arial"/>
    </font>
    <font>
      <b/>
      <sz val="9.0"/>
      <color rgb="FFFFFFFF"/>
      <name val="Arial"/>
    </font>
    <font>
      <b/>
      <sz val="9.0"/>
      <color rgb="FF1E3A5F"/>
      <name val="Arial"/>
    </font>
    <font>
      <sz val="9.0"/>
      <color rgb="FF6B7280"/>
      <name val="Arial"/>
    </font>
    <font>
      <sz val="9.0"/>
      <color rgb="FF111827"/>
      <name val="Arial"/>
    </font>
    <font>
      <b/>
      <sz val="9.0"/>
      <color rgb="FF065F46"/>
      <name val="Arial"/>
    </font>
    <font>
      <b/>
      <sz val="9.0"/>
      <color rgb="FF92400E"/>
      <name val="Arial"/>
    </font>
    <font>
      <b/>
      <sz val="9.0"/>
      <color rgb="FF7F1D1D"/>
      <name val="Arial"/>
    </font>
    <font>
      <b/>
      <sz val="9.0"/>
      <color rgb="FF7C2D12"/>
      <name val="Arial"/>
    </font>
    <font>
      <sz val="8.0"/>
      <color rgb="FF6B728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EF1FE"/>
        <bgColor rgb="FFEEF1FE"/>
      </patternFill>
    </fill>
    <fill>
      <patternFill patternType="solid">
        <fgColor rgb="FFFFFFFF"/>
        <bgColor rgb="FFFFFFFF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  <fill>
      <patternFill patternType="solid">
        <fgColor rgb="FFF7F8FC"/>
        <bgColor rgb="FFF7F8FC"/>
      </patternFill>
    </fill>
    <fill>
      <patternFill patternType="solid">
        <fgColor rgb="FFFEF2F2"/>
        <bgColor rgb="FFFEF2F2"/>
      </patternFill>
    </fill>
    <fill>
      <patternFill patternType="solid">
        <fgColor rgb="FFFFF7ED"/>
        <bgColor rgb="FFFFF7E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BD0DF"/>
      </left>
      <right style="thin">
        <color rgb="FFCBD0DF"/>
      </right>
      <top style="thin">
        <color rgb="FFCBD0DF"/>
      </top>
      <bottom style="thin">
        <color rgb="FFCBD0DF"/>
      </bottom>
    </border>
    <border>
      <left style="thin">
        <color rgb="FFCBD0DF"/>
      </left>
      <top style="thin">
        <color rgb="FFCBD0DF"/>
      </top>
      <bottom style="thin">
        <color rgb="FFCBD0DF"/>
      </bottom>
    </border>
    <border>
      <top style="thin">
        <color rgb="FFCBD0DF"/>
      </top>
      <bottom style="thin">
        <color rgb="FFCBD0DF"/>
      </bottom>
    </border>
    <border>
      <right style="thin">
        <color rgb="FFCBD0DF"/>
      </right>
      <top style="thin">
        <color rgb="FFCBD0DF"/>
      </top>
      <bottom style="thin">
        <color rgb="FFCBD0D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vertical="center"/>
    </xf>
    <xf borderId="4" fillId="5" fontId="8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readingOrder="0" vertical="center"/>
    </xf>
    <xf borderId="4" fillId="7" fontId="6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4" fillId="6" fontId="9" numFmtId="0" xfId="0" applyAlignment="1" applyBorder="1" applyFont="1">
      <alignment horizontal="center" vertical="center"/>
    </xf>
    <xf borderId="4" fillId="8" fontId="10" numFmtId="0" xfId="0" applyAlignment="1" applyBorder="1" applyFill="1" applyFont="1">
      <alignment horizontal="center" vertical="center"/>
    </xf>
    <xf borderId="4" fillId="9" fontId="11" numFmtId="0" xfId="0" applyAlignment="1" applyBorder="1" applyFill="1" applyFont="1">
      <alignment horizontal="center" vertical="center"/>
    </xf>
    <xf borderId="5" fillId="7" fontId="12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6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26.0"/>
    <col customWidth="1" min="4" max="4" width="30.0"/>
    <col customWidth="1" min="5" max="5" width="14.0"/>
    <col customWidth="1" min="6" max="6" width="38.0"/>
    <col customWidth="1" min="7" max="7" width="28.0"/>
    <col customWidth="1" min="8" max="8" width="52.0"/>
    <col customWidth="1" min="9" max="9" width="10.0"/>
    <col customWidth="1" min="10" max="10" width="14.0"/>
    <col customWidth="1" min="11" max="11" width="18.0"/>
    <col customWidth="1" min="12" max="12" width="10.0"/>
    <col customWidth="1" min="13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15.0" customHeight="1">
      <c r="A4" s="6" t="s">
        <v>14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ht="15.0" customHeight="1">
      <c r="A5" s="9" t="s">
        <v>15</v>
      </c>
      <c r="B5" s="10" t="s">
        <v>14</v>
      </c>
      <c r="C5" s="11" t="s">
        <v>16</v>
      </c>
      <c r="D5" s="12" t="s">
        <v>17</v>
      </c>
      <c r="E5" s="11" t="s">
        <v>18</v>
      </c>
      <c r="F5" s="12" t="s">
        <v>19</v>
      </c>
      <c r="G5" s="12" t="s">
        <v>20</v>
      </c>
      <c r="H5" s="12" t="s">
        <v>21</v>
      </c>
      <c r="I5" s="9" t="s">
        <v>22</v>
      </c>
      <c r="J5" s="13" t="s">
        <v>23</v>
      </c>
      <c r="K5" s="14" t="s">
        <v>23</v>
      </c>
      <c r="L5" s="9" t="str">
        <f t="shared" ref="L5:L12" si="1">IF(K5="","—",IF(J5=K5,"MATCH","MISMATCH"))</f>
        <v>MATCH</v>
      </c>
    </row>
    <row r="6" ht="15.0" customHeight="1">
      <c r="A6" s="15" t="s">
        <v>24</v>
      </c>
      <c r="B6" s="16" t="s">
        <v>14</v>
      </c>
      <c r="C6" s="17" t="s">
        <v>16</v>
      </c>
      <c r="D6" s="18" t="s">
        <v>17</v>
      </c>
      <c r="E6" s="17" t="s">
        <v>18</v>
      </c>
      <c r="F6" s="18" t="s">
        <v>25</v>
      </c>
      <c r="G6" s="18" t="s">
        <v>20</v>
      </c>
      <c r="H6" s="18" t="s">
        <v>26</v>
      </c>
      <c r="I6" s="15" t="s">
        <v>22</v>
      </c>
      <c r="J6" s="13" t="s">
        <v>23</v>
      </c>
      <c r="K6" s="14" t="s">
        <v>23</v>
      </c>
      <c r="L6" s="15" t="str">
        <f t="shared" si="1"/>
        <v>MATCH</v>
      </c>
    </row>
    <row r="7" ht="15.0" customHeight="1">
      <c r="A7" s="9" t="s">
        <v>27</v>
      </c>
      <c r="B7" s="10" t="s">
        <v>14</v>
      </c>
      <c r="C7" s="11" t="s">
        <v>16</v>
      </c>
      <c r="D7" s="12" t="s">
        <v>17</v>
      </c>
      <c r="E7" s="11" t="s">
        <v>28</v>
      </c>
      <c r="F7" s="12" t="s">
        <v>29</v>
      </c>
      <c r="G7" s="12" t="s">
        <v>20</v>
      </c>
      <c r="H7" s="12" t="s">
        <v>30</v>
      </c>
      <c r="I7" s="9" t="s">
        <v>22</v>
      </c>
      <c r="J7" s="19" t="s">
        <v>31</v>
      </c>
      <c r="K7" s="14" t="s">
        <v>32</v>
      </c>
      <c r="L7" s="9" t="str">
        <f t="shared" si="1"/>
        <v>MISMATCH</v>
      </c>
    </row>
    <row r="8" ht="15.0" customHeight="1">
      <c r="A8" s="15" t="s">
        <v>33</v>
      </c>
      <c r="B8" s="16" t="s">
        <v>14</v>
      </c>
      <c r="C8" s="17" t="s">
        <v>16</v>
      </c>
      <c r="D8" s="18" t="s">
        <v>17</v>
      </c>
      <c r="E8" s="17" t="s">
        <v>28</v>
      </c>
      <c r="F8" s="18" t="s">
        <v>34</v>
      </c>
      <c r="G8" s="18" t="s">
        <v>20</v>
      </c>
      <c r="H8" s="18" t="s">
        <v>26</v>
      </c>
      <c r="I8" s="15" t="s">
        <v>22</v>
      </c>
      <c r="J8" s="19" t="s">
        <v>31</v>
      </c>
      <c r="K8" s="19" t="s">
        <v>31</v>
      </c>
      <c r="L8" s="15" t="str">
        <f t="shared" si="1"/>
        <v>MATCH</v>
      </c>
    </row>
    <row r="9" ht="15.0" customHeight="1">
      <c r="A9" s="9" t="s">
        <v>35</v>
      </c>
      <c r="B9" s="10" t="s">
        <v>14</v>
      </c>
      <c r="C9" s="11" t="s">
        <v>36</v>
      </c>
      <c r="D9" s="12" t="s">
        <v>17</v>
      </c>
      <c r="E9" s="11" t="s">
        <v>18</v>
      </c>
      <c r="F9" s="12" t="s">
        <v>37</v>
      </c>
      <c r="G9" s="12" t="s">
        <v>20</v>
      </c>
      <c r="H9" s="12" t="s">
        <v>21</v>
      </c>
      <c r="I9" s="9" t="s">
        <v>22</v>
      </c>
      <c r="J9" s="13" t="s">
        <v>23</v>
      </c>
      <c r="K9" s="14" t="s">
        <v>23</v>
      </c>
      <c r="L9" s="9" t="str">
        <f t="shared" si="1"/>
        <v>MATCH</v>
      </c>
    </row>
    <row r="10" ht="15.0" customHeight="1">
      <c r="A10" s="15" t="s">
        <v>38</v>
      </c>
      <c r="B10" s="16" t="s">
        <v>14</v>
      </c>
      <c r="C10" s="17" t="s">
        <v>36</v>
      </c>
      <c r="D10" s="18" t="s">
        <v>17</v>
      </c>
      <c r="E10" s="17" t="s">
        <v>28</v>
      </c>
      <c r="F10" s="18" t="s">
        <v>39</v>
      </c>
      <c r="G10" s="18" t="s">
        <v>20</v>
      </c>
      <c r="H10" s="18" t="s">
        <v>30</v>
      </c>
      <c r="I10" s="15" t="s">
        <v>22</v>
      </c>
      <c r="J10" s="13" t="s">
        <v>23</v>
      </c>
      <c r="K10" s="19" t="s">
        <v>31</v>
      </c>
      <c r="L10" s="15" t="str">
        <f t="shared" si="1"/>
        <v>MISMATCH</v>
      </c>
    </row>
    <row r="11" ht="15.0" customHeight="1">
      <c r="A11" s="9" t="s">
        <v>40</v>
      </c>
      <c r="B11" s="10" t="s">
        <v>14</v>
      </c>
      <c r="C11" s="11" t="s">
        <v>41</v>
      </c>
      <c r="D11" s="12" t="s">
        <v>17</v>
      </c>
      <c r="E11" s="11" t="s">
        <v>18</v>
      </c>
      <c r="F11" s="12" t="s">
        <v>42</v>
      </c>
      <c r="G11" s="12" t="s">
        <v>20</v>
      </c>
      <c r="H11" s="12" t="s">
        <v>21</v>
      </c>
      <c r="I11" s="9" t="s">
        <v>22</v>
      </c>
      <c r="J11" s="13" t="s">
        <v>23</v>
      </c>
      <c r="K11" s="14" t="s">
        <v>23</v>
      </c>
      <c r="L11" s="9" t="str">
        <f t="shared" si="1"/>
        <v>MATCH</v>
      </c>
    </row>
    <row r="12" ht="15.0" customHeight="1">
      <c r="A12" s="15" t="s">
        <v>43</v>
      </c>
      <c r="B12" s="16" t="s">
        <v>14</v>
      </c>
      <c r="C12" s="17" t="s">
        <v>41</v>
      </c>
      <c r="D12" s="18" t="s">
        <v>17</v>
      </c>
      <c r="E12" s="17" t="s">
        <v>28</v>
      </c>
      <c r="F12" s="18" t="s">
        <v>44</v>
      </c>
      <c r="G12" s="18" t="s">
        <v>20</v>
      </c>
      <c r="H12" s="18" t="s">
        <v>45</v>
      </c>
      <c r="I12" s="15" t="s">
        <v>22</v>
      </c>
      <c r="J12" s="13" t="s">
        <v>23</v>
      </c>
      <c r="K12" s="14" t="s">
        <v>23</v>
      </c>
      <c r="L12" s="15" t="str">
        <f t="shared" si="1"/>
        <v>MATCH</v>
      </c>
    </row>
    <row r="14" ht="15.0" customHeight="1">
      <c r="A14" s="6" t="s">
        <v>46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ht="15.0" customHeight="1">
      <c r="A15" s="9" t="s">
        <v>47</v>
      </c>
      <c r="B15" s="10" t="s">
        <v>46</v>
      </c>
      <c r="C15" s="11" t="s">
        <v>16</v>
      </c>
      <c r="D15" s="12" t="s">
        <v>17</v>
      </c>
      <c r="E15" s="11" t="s">
        <v>28</v>
      </c>
      <c r="F15" s="12" t="s">
        <v>29</v>
      </c>
      <c r="G15" s="12" t="s">
        <v>20</v>
      </c>
      <c r="H15" s="12" t="s">
        <v>21</v>
      </c>
      <c r="I15" s="9" t="s">
        <v>22</v>
      </c>
      <c r="J15" s="19" t="s">
        <v>31</v>
      </c>
      <c r="K15" s="14" t="s">
        <v>23</v>
      </c>
      <c r="L15" s="9" t="str">
        <f t="shared" ref="L15:L18" si="2">IF(K15="","—",IF(J15=K15,"MATCH","MISMATCH"))</f>
        <v>MISMATCH</v>
      </c>
    </row>
    <row r="16" ht="15.0" customHeight="1">
      <c r="A16" s="15" t="s">
        <v>48</v>
      </c>
      <c r="B16" s="16" t="s">
        <v>46</v>
      </c>
      <c r="C16" s="17" t="s">
        <v>16</v>
      </c>
      <c r="D16" s="18" t="s">
        <v>17</v>
      </c>
      <c r="E16" s="17" t="s">
        <v>28</v>
      </c>
      <c r="F16" s="18" t="s">
        <v>34</v>
      </c>
      <c r="G16" s="18" t="s">
        <v>20</v>
      </c>
      <c r="H16" s="18" t="s">
        <v>30</v>
      </c>
      <c r="I16" s="15" t="s">
        <v>22</v>
      </c>
      <c r="J16" s="19" t="s">
        <v>31</v>
      </c>
      <c r="K16" s="14" t="s">
        <v>32</v>
      </c>
      <c r="L16" s="15" t="str">
        <f t="shared" si="2"/>
        <v>MISMATCH</v>
      </c>
    </row>
    <row r="17" ht="15.0" customHeight="1">
      <c r="A17" s="9" t="s">
        <v>49</v>
      </c>
      <c r="B17" s="10" t="s">
        <v>46</v>
      </c>
      <c r="C17" s="11" t="s">
        <v>16</v>
      </c>
      <c r="D17" s="12" t="s">
        <v>17</v>
      </c>
      <c r="E17" s="11" t="s">
        <v>28</v>
      </c>
      <c r="F17" s="12" t="s">
        <v>50</v>
      </c>
      <c r="G17" s="12" t="s">
        <v>20</v>
      </c>
      <c r="H17" s="12" t="s">
        <v>26</v>
      </c>
      <c r="I17" s="9" t="s">
        <v>22</v>
      </c>
      <c r="J17" s="19" t="s">
        <v>31</v>
      </c>
      <c r="K17" s="19" t="s">
        <v>31</v>
      </c>
      <c r="L17" s="9" t="str">
        <f t="shared" si="2"/>
        <v>MATCH</v>
      </c>
    </row>
    <row r="18" ht="15.0" customHeight="1">
      <c r="A18" s="15" t="s">
        <v>51</v>
      </c>
      <c r="B18" s="16" t="s">
        <v>46</v>
      </c>
      <c r="C18" s="17" t="s">
        <v>16</v>
      </c>
      <c r="D18" s="18" t="s">
        <v>17</v>
      </c>
      <c r="E18" s="17" t="s">
        <v>28</v>
      </c>
      <c r="F18" s="18" t="s">
        <v>52</v>
      </c>
      <c r="G18" s="18" t="s">
        <v>20</v>
      </c>
      <c r="H18" s="18" t="s">
        <v>45</v>
      </c>
      <c r="I18" s="15" t="s">
        <v>22</v>
      </c>
      <c r="J18" s="19" t="s">
        <v>31</v>
      </c>
      <c r="K18" s="14" t="s">
        <v>23</v>
      </c>
      <c r="L18" s="15" t="str">
        <f t="shared" si="2"/>
        <v>MISMATCH</v>
      </c>
    </row>
    <row r="20" ht="15.0" customHeight="1">
      <c r="A20" s="6" t="s">
        <v>53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ht="15.0" customHeight="1">
      <c r="A21" s="9" t="s">
        <v>54</v>
      </c>
      <c r="B21" s="10" t="s">
        <v>53</v>
      </c>
      <c r="C21" s="11" t="s">
        <v>16</v>
      </c>
      <c r="D21" s="12" t="s">
        <v>17</v>
      </c>
      <c r="E21" s="11" t="s">
        <v>18</v>
      </c>
      <c r="F21" s="12" t="s">
        <v>19</v>
      </c>
      <c r="G21" s="12" t="s">
        <v>20</v>
      </c>
      <c r="H21" s="12" t="s">
        <v>55</v>
      </c>
      <c r="I21" s="9" t="s">
        <v>22</v>
      </c>
      <c r="J21" s="13" t="s">
        <v>23</v>
      </c>
      <c r="K21" s="14" t="s">
        <v>23</v>
      </c>
      <c r="L21" s="9" t="str">
        <f t="shared" ref="L21:L24" si="3">IF(K21="","—",IF(J21=K21,"MATCH","MISMATCH"))</f>
        <v>MATCH</v>
      </c>
    </row>
    <row r="22" ht="15.0" customHeight="1">
      <c r="A22" s="15" t="s">
        <v>56</v>
      </c>
      <c r="B22" s="16" t="s">
        <v>53</v>
      </c>
      <c r="C22" s="17" t="s">
        <v>16</v>
      </c>
      <c r="D22" s="18" t="s">
        <v>17</v>
      </c>
      <c r="E22" s="17" t="s">
        <v>18</v>
      </c>
      <c r="F22" s="18" t="s">
        <v>42</v>
      </c>
      <c r="G22" s="18" t="s">
        <v>20</v>
      </c>
      <c r="H22" s="18" t="s">
        <v>55</v>
      </c>
      <c r="I22" s="15" t="s">
        <v>22</v>
      </c>
      <c r="J22" s="13" t="s">
        <v>23</v>
      </c>
      <c r="K22" s="14" t="s">
        <v>23</v>
      </c>
      <c r="L22" s="15" t="str">
        <f t="shared" si="3"/>
        <v>MATCH</v>
      </c>
    </row>
    <row r="23" ht="15.0" customHeight="1">
      <c r="A23" s="9" t="s">
        <v>57</v>
      </c>
      <c r="B23" s="10" t="s">
        <v>53</v>
      </c>
      <c r="C23" s="11" t="s">
        <v>36</v>
      </c>
      <c r="D23" s="12" t="s">
        <v>17</v>
      </c>
      <c r="E23" s="11" t="s">
        <v>18</v>
      </c>
      <c r="F23" s="12" t="s">
        <v>37</v>
      </c>
      <c r="G23" s="12" t="s">
        <v>20</v>
      </c>
      <c r="H23" s="12" t="s">
        <v>55</v>
      </c>
      <c r="I23" s="9" t="s">
        <v>22</v>
      </c>
      <c r="J23" s="13" t="s">
        <v>23</v>
      </c>
      <c r="K23" s="14" t="s">
        <v>23</v>
      </c>
      <c r="L23" s="9" t="str">
        <f t="shared" si="3"/>
        <v>MATCH</v>
      </c>
    </row>
    <row r="24" ht="15.0" customHeight="1">
      <c r="A24" s="15" t="s">
        <v>58</v>
      </c>
      <c r="B24" s="16" t="s">
        <v>53</v>
      </c>
      <c r="C24" s="17" t="s">
        <v>41</v>
      </c>
      <c r="D24" s="18" t="s">
        <v>17</v>
      </c>
      <c r="E24" s="17" t="s">
        <v>18</v>
      </c>
      <c r="F24" s="18" t="s">
        <v>59</v>
      </c>
      <c r="G24" s="18" t="s">
        <v>20</v>
      </c>
      <c r="H24" s="18" t="s">
        <v>55</v>
      </c>
      <c r="I24" s="15" t="s">
        <v>22</v>
      </c>
      <c r="J24" s="13" t="s">
        <v>23</v>
      </c>
      <c r="K24" s="14" t="s">
        <v>23</v>
      </c>
      <c r="L24" s="15" t="str">
        <f t="shared" si="3"/>
        <v>MATCH</v>
      </c>
    </row>
    <row r="25" ht="15.75" customHeight="1"/>
    <row r="26" ht="15.0" customHeight="1">
      <c r="A26" s="6" t="s">
        <v>60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ht="15.0" customHeight="1">
      <c r="A27" s="9" t="s">
        <v>61</v>
      </c>
      <c r="B27" s="10" t="s">
        <v>60</v>
      </c>
      <c r="C27" s="11" t="s">
        <v>16</v>
      </c>
      <c r="D27" s="12" t="s">
        <v>17</v>
      </c>
      <c r="E27" s="11" t="s">
        <v>18</v>
      </c>
      <c r="F27" s="12" t="s">
        <v>19</v>
      </c>
      <c r="G27" s="12" t="s">
        <v>20</v>
      </c>
      <c r="H27" s="12" t="s">
        <v>62</v>
      </c>
      <c r="I27" s="9" t="s">
        <v>22</v>
      </c>
      <c r="J27" s="13" t="s">
        <v>23</v>
      </c>
      <c r="K27" s="19" t="s">
        <v>31</v>
      </c>
      <c r="L27" s="9" t="str">
        <f t="shared" ref="L27:L30" si="4">IF(K27="","—",IF(J27=K27,"MATCH","MISMATCH"))</f>
        <v>MISMATCH</v>
      </c>
    </row>
    <row r="28" ht="15.0" customHeight="1">
      <c r="A28" s="15" t="s">
        <v>63</v>
      </c>
      <c r="B28" s="16" t="s">
        <v>60</v>
      </c>
      <c r="C28" s="17" t="s">
        <v>16</v>
      </c>
      <c r="D28" s="18" t="s">
        <v>17</v>
      </c>
      <c r="E28" s="17" t="s">
        <v>18</v>
      </c>
      <c r="F28" s="18" t="s">
        <v>42</v>
      </c>
      <c r="G28" s="18" t="s">
        <v>20</v>
      </c>
      <c r="H28" s="18" t="s">
        <v>62</v>
      </c>
      <c r="I28" s="15" t="s">
        <v>22</v>
      </c>
      <c r="J28" s="13" t="s">
        <v>23</v>
      </c>
      <c r="K28" s="19" t="s">
        <v>31</v>
      </c>
      <c r="L28" s="15" t="str">
        <f t="shared" si="4"/>
        <v>MISMATCH</v>
      </c>
    </row>
    <row r="29" ht="15.0" customHeight="1">
      <c r="A29" s="9" t="s">
        <v>64</v>
      </c>
      <c r="B29" s="10" t="s">
        <v>60</v>
      </c>
      <c r="C29" s="11" t="s">
        <v>36</v>
      </c>
      <c r="D29" s="12" t="s">
        <v>17</v>
      </c>
      <c r="E29" s="11" t="s">
        <v>18</v>
      </c>
      <c r="F29" s="12" t="s">
        <v>37</v>
      </c>
      <c r="G29" s="12" t="s">
        <v>20</v>
      </c>
      <c r="H29" s="12" t="s">
        <v>62</v>
      </c>
      <c r="I29" s="9" t="s">
        <v>22</v>
      </c>
      <c r="J29" s="13" t="s">
        <v>23</v>
      </c>
      <c r="K29" s="19" t="s">
        <v>31</v>
      </c>
      <c r="L29" s="9" t="str">
        <f t="shared" si="4"/>
        <v>MISMATCH</v>
      </c>
    </row>
    <row r="30" ht="15.0" customHeight="1">
      <c r="A30" s="15" t="s">
        <v>65</v>
      </c>
      <c r="B30" s="16" t="s">
        <v>60</v>
      </c>
      <c r="C30" s="17" t="s">
        <v>41</v>
      </c>
      <c r="D30" s="18" t="s">
        <v>17</v>
      </c>
      <c r="E30" s="17" t="s">
        <v>18</v>
      </c>
      <c r="F30" s="18" t="s">
        <v>59</v>
      </c>
      <c r="G30" s="18" t="s">
        <v>20</v>
      </c>
      <c r="H30" s="18" t="s">
        <v>66</v>
      </c>
      <c r="I30" s="15" t="s">
        <v>22</v>
      </c>
      <c r="J30" s="13" t="s">
        <v>23</v>
      </c>
      <c r="K30" s="19" t="s">
        <v>31</v>
      </c>
      <c r="L30" s="15" t="str">
        <f t="shared" si="4"/>
        <v>MISMATCH</v>
      </c>
    </row>
    <row r="31" ht="15.75" customHeight="1"/>
    <row r="32" ht="15.0" customHeight="1">
      <c r="A32" s="6" t="s">
        <v>67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</row>
    <row r="33" ht="15.0" customHeight="1">
      <c r="A33" s="9" t="s">
        <v>68</v>
      </c>
      <c r="B33" s="10" t="s">
        <v>67</v>
      </c>
      <c r="C33" s="11" t="s">
        <v>16</v>
      </c>
      <c r="D33" s="12" t="s">
        <v>17</v>
      </c>
      <c r="E33" s="11" t="s">
        <v>28</v>
      </c>
      <c r="F33" s="12" t="s">
        <v>69</v>
      </c>
      <c r="G33" s="12" t="s">
        <v>20</v>
      </c>
      <c r="H33" s="12" t="s">
        <v>70</v>
      </c>
      <c r="I33" s="9" t="s">
        <v>71</v>
      </c>
      <c r="J33" s="20" t="s">
        <v>72</v>
      </c>
      <c r="K33" s="14" t="s">
        <v>32</v>
      </c>
      <c r="L33" s="9" t="str">
        <f t="shared" ref="L33:L36" si="5">IF(K33="","—",IF(J33=K33,"MATCH","MISMATCH"))</f>
        <v>MISMATCH</v>
      </c>
    </row>
    <row r="34" ht="15.0" customHeight="1">
      <c r="A34" s="15" t="s">
        <v>73</v>
      </c>
      <c r="B34" s="16" t="s">
        <v>67</v>
      </c>
      <c r="C34" s="17" t="s">
        <v>16</v>
      </c>
      <c r="D34" s="18" t="s">
        <v>17</v>
      </c>
      <c r="E34" s="17" t="s">
        <v>28</v>
      </c>
      <c r="F34" s="18" t="s">
        <v>74</v>
      </c>
      <c r="G34" s="18" t="s">
        <v>20</v>
      </c>
      <c r="H34" s="18" t="s">
        <v>70</v>
      </c>
      <c r="I34" s="15" t="s">
        <v>71</v>
      </c>
      <c r="J34" s="20" t="s">
        <v>72</v>
      </c>
      <c r="K34" s="14" t="s">
        <v>32</v>
      </c>
      <c r="L34" s="15" t="str">
        <f t="shared" si="5"/>
        <v>MISMATCH</v>
      </c>
    </row>
    <row r="35" ht="15.0" customHeight="1">
      <c r="A35" s="9" t="s">
        <v>75</v>
      </c>
      <c r="B35" s="10" t="s">
        <v>67</v>
      </c>
      <c r="C35" s="11" t="s">
        <v>16</v>
      </c>
      <c r="D35" s="12" t="s">
        <v>17</v>
      </c>
      <c r="E35" s="11" t="s">
        <v>28</v>
      </c>
      <c r="F35" s="12" t="s">
        <v>69</v>
      </c>
      <c r="G35" s="12" t="s">
        <v>20</v>
      </c>
      <c r="H35" s="12" t="s">
        <v>76</v>
      </c>
      <c r="I35" s="9" t="s">
        <v>71</v>
      </c>
      <c r="J35" s="20" t="s">
        <v>72</v>
      </c>
      <c r="K35" s="14" t="s">
        <v>77</v>
      </c>
      <c r="L35" s="9" t="str">
        <f t="shared" si="5"/>
        <v>MISMATCH</v>
      </c>
    </row>
    <row r="36" ht="15.0" customHeight="1">
      <c r="A36" s="15" t="s">
        <v>78</v>
      </c>
      <c r="B36" s="16" t="s">
        <v>67</v>
      </c>
      <c r="C36" s="17" t="s">
        <v>16</v>
      </c>
      <c r="D36" s="18" t="s">
        <v>17</v>
      </c>
      <c r="E36" s="17" t="s">
        <v>28</v>
      </c>
      <c r="F36" s="18" t="s">
        <v>74</v>
      </c>
      <c r="G36" s="18" t="s">
        <v>20</v>
      </c>
      <c r="H36" s="18" t="s">
        <v>79</v>
      </c>
      <c r="I36" s="15" t="s">
        <v>71</v>
      </c>
      <c r="J36" s="20" t="s">
        <v>72</v>
      </c>
      <c r="K36" s="14" t="s">
        <v>32</v>
      </c>
      <c r="L36" s="15" t="str">
        <f t="shared" si="5"/>
        <v>MISMATCH</v>
      </c>
    </row>
    <row r="37" ht="15.75" customHeight="1"/>
    <row r="38" ht="15.0" customHeight="1">
      <c r="A38" s="6" t="s">
        <v>80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</row>
    <row r="39" ht="15.0" customHeight="1">
      <c r="A39" s="9" t="s">
        <v>81</v>
      </c>
      <c r="B39" s="10" t="s">
        <v>80</v>
      </c>
      <c r="C39" s="11" t="s">
        <v>36</v>
      </c>
      <c r="D39" s="12" t="s">
        <v>17</v>
      </c>
      <c r="E39" s="11" t="s">
        <v>28</v>
      </c>
      <c r="F39" s="12" t="s">
        <v>69</v>
      </c>
      <c r="G39" s="12" t="s">
        <v>20</v>
      </c>
      <c r="H39" s="12" t="s">
        <v>70</v>
      </c>
      <c r="I39" s="9" t="s">
        <v>71</v>
      </c>
      <c r="J39" s="21" t="s">
        <v>32</v>
      </c>
      <c r="K39" s="19" t="s">
        <v>31</v>
      </c>
      <c r="L39" s="9" t="str">
        <f t="shared" ref="L39:L42" si="6">IF(K39="","—",IF(J39=K39,"MATCH","MISMATCH"))</f>
        <v>MISMATCH</v>
      </c>
    </row>
    <row r="40" ht="15.0" customHeight="1">
      <c r="A40" s="15" t="s">
        <v>82</v>
      </c>
      <c r="B40" s="16" t="s">
        <v>80</v>
      </c>
      <c r="C40" s="17" t="s">
        <v>36</v>
      </c>
      <c r="D40" s="18" t="s">
        <v>17</v>
      </c>
      <c r="E40" s="17" t="s">
        <v>28</v>
      </c>
      <c r="F40" s="18" t="s">
        <v>74</v>
      </c>
      <c r="G40" s="18" t="s">
        <v>20</v>
      </c>
      <c r="H40" s="18" t="s">
        <v>70</v>
      </c>
      <c r="I40" s="15" t="s">
        <v>71</v>
      </c>
      <c r="J40" s="21" t="s">
        <v>32</v>
      </c>
      <c r="K40" s="19" t="s">
        <v>31</v>
      </c>
      <c r="L40" s="15" t="str">
        <f t="shared" si="6"/>
        <v>MISMATCH</v>
      </c>
    </row>
    <row r="41" ht="15.0" customHeight="1">
      <c r="A41" s="9" t="s">
        <v>83</v>
      </c>
      <c r="B41" s="10" t="s">
        <v>80</v>
      </c>
      <c r="C41" s="11" t="s">
        <v>41</v>
      </c>
      <c r="D41" s="12" t="s">
        <v>17</v>
      </c>
      <c r="E41" s="11" t="s">
        <v>28</v>
      </c>
      <c r="F41" s="12" t="s">
        <v>69</v>
      </c>
      <c r="G41" s="12" t="s">
        <v>20</v>
      </c>
      <c r="H41" s="12" t="s">
        <v>76</v>
      </c>
      <c r="I41" s="9" t="s">
        <v>71</v>
      </c>
      <c r="J41" s="21" t="s">
        <v>32</v>
      </c>
      <c r="K41" s="14" t="s">
        <v>77</v>
      </c>
      <c r="L41" s="9" t="str">
        <f t="shared" si="6"/>
        <v>MISMATCH</v>
      </c>
    </row>
    <row r="42" ht="15.0" customHeight="1">
      <c r="A42" s="15" t="s">
        <v>84</v>
      </c>
      <c r="B42" s="16" t="s">
        <v>80</v>
      </c>
      <c r="C42" s="17" t="s">
        <v>41</v>
      </c>
      <c r="D42" s="18" t="s">
        <v>17</v>
      </c>
      <c r="E42" s="17" t="s">
        <v>28</v>
      </c>
      <c r="F42" s="18" t="s">
        <v>74</v>
      </c>
      <c r="G42" s="18" t="s">
        <v>20</v>
      </c>
      <c r="H42" s="18" t="s">
        <v>66</v>
      </c>
      <c r="I42" s="15" t="s">
        <v>71</v>
      </c>
      <c r="J42" s="21" t="s">
        <v>32</v>
      </c>
      <c r="K42" s="14" t="s">
        <v>32</v>
      </c>
      <c r="L42" s="15" t="str">
        <f t="shared" si="6"/>
        <v>MATCH</v>
      </c>
    </row>
    <row r="43" ht="15.75" customHeight="1"/>
    <row r="44" ht="15.0" customHeight="1">
      <c r="A44" s="6" t="s">
        <v>85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</row>
    <row r="45" ht="15.0" customHeight="1">
      <c r="A45" s="9" t="s">
        <v>86</v>
      </c>
      <c r="B45" s="10" t="s">
        <v>85</v>
      </c>
      <c r="C45" s="11" t="s">
        <v>16</v>
      </c>
      <c r="D45" s="12" t="s">
        <v>17</v>
      </c>
      <c r="E45" s="11" t="s">
        <v>28</v>
      </c>
      <c r="F45" s="12" t="s">
        <v>29</v>
      </c>
      <c r="G45" s="12" t="s">
        <v>20</v>
      </c>
      <c r="H45" s="12" t="s">
        <v>70</v>
      </c>
      <c r="I45" s="9" t="s">
        <v>71</v>
      </c>
      <c r="J45" s="21" t="s">
        <v>32</v>
      </c>
      <c r="K45" s="14" t="s">
        <v>32</v>
      </c>
      <c r="L45" s="9" t="str">
        <f t="shared" ref="L45:L49" si="7">IF(K45="","—",IF(J45=K45,"MATCH","MISMATCH"))</f>
        <v>MATCH</v>
      </c>
    </row>
    <row r="46" ht="15.0" customHeight="1">
      <c r="A46" s="15" t="s">
        <v>87</v>
      </c>
      <c r="B46" s="16" t="s">
        <v>85</v>
      </c>
      <c r="C46" s="17" t="s">
        <v>16</v>
      </c>
      <c r="D46" s="18" t="s">
        <v>17</v>
      </c>
      <c r="E46" s="17" t="s">
        <v>28</v>
      </c>
      <c r="F46" s="18" t="s">
        <v>34</v>
      </c>
      <c r="G46" s="18" t="s">
        <v>20</v>
      </c>
      <c r="H46" s="18" t="s">
        <v>76</v>
      </c>
      <c r="I46" s="15" t="s">
        <v>71</v>
      </c>
      <c r="J46" s="21" t="s">
        <v>32</v>
      </c>
      <c r="K46" s="14" t="s">
        <v>77</v>
      </c>
      <c r="L46" s="15" t="str">
        <f t="shared" si="7"/>
        <v>MISMATCH</v>
      </c>
    </row>
    <row r="47" ht="15.0" customHeight="1">
      <c r="A47" s="9" t="s">
        <v>88</v>
      </c>
      <c r="B47" s="10" t="s">
        <v>85</v>
      </c>
      <c r="C47" s="11" t="s">
        <v>16</v>
      </c>
      <c r="D47" s="12" t="s">
        <v>17</v>
      </c>
      <c r="E47" s="11" t="s">
        <v>28</v>
      </c>
      <c r="F47" s="12" t="s">
        <v>89</v>
      </c>
      <c r="G47" s="12" t="s">
        <v>20</v>
      </c>
      <c r="H47" s="12" t="s">
        <v>90</v>
      </c>
      <c r="I47" s="9" t="s">
        <v>71</v>
      </c>
      <c r="J47" s="21" t="s">
        <v>32</v>
      </c>
      <c r="K47" s="14" t="s">
        <v>32</v>
      </c>
      <c r="L47" s="9" t="str">
        <f t="shared" si="7"/>
        <v>MATCH</v>
      </c>
    </row>
    <row r="48" ht="15.0" customHeight="1">
      <c r="A48" s="15" t="s">
        <v>91</v>
      </c>
      <c r="B48" s="16" t="s">
        <v>85</v>
      </c>
      <c r="C48" s="17" t="s">
        <v>16</v>
      </c>
      <c r="D48" s="18" t="s">
        <v>17</v>
      </c>
      <c r="E48" s="17" t="s">
        <v>28</v>
      </c>
      <c r="F48" s="18" t="s">
        <v>92</v>
      </c>
      <c r="G48" s="18" t="s">
        <v>20</v>
      </c>
      <c r="H48" s="18" t="s">
        <v>66</v>
      </c>
      <c r="I48" s="15" t="s">
        <v>71</v>
      </c>
      <c r="J48" s="21" t="s">
        <v>32</v>
      </c>
      <c r="K48" s="14" t="s">
        <v>72</v>
      </c>
      <c r="L48" s="15" t="str">
        <f t="shared" si="7"/>
        <v>MISMATCH</v>
      </c>
    </row>
    <row r="49" ht="15.0" customHeight="1">
      <c r="A49" s="9" t="s">
        <v>93</v>
      </c>
      <c r="B49" s="10" t="s">
        <v>85</v>
      </c>
      <c r="C49" s="11" t="s">
        <v>16</v>
      </c>
      <c r="D49" s="12" t="s">
        <v>17</v>
      </c>
      <c r="E49" s="11" t="s">
        <v>28</v>
      </c>
      <c r="F49" s="12" t="s">
        <v>52</v>
      </c>
      <c r="G49" s="12" t="s">
        <v>20</v>
      </c>
      <c r="H49" s="12" t="s">
        <v>94</v>
      </c>
      <c r="I49" s="9" t="s">
        <v>71</v>
      </c>
      <c r="J49" s="21" t="s">
        <v>32</v>
      </c>
      <c r="K49" s="19" t="s">
        <v>31</v>
      </c>
      <c r="L49" s="9" t="str">
        <f t="shared" si="7"/>
        <v>MISMATCH</v>
      </c>
    </row>
    <row r="50" ht="15.75" customHeight="1"/>
    <row r="51" ht="15.0" customHeight="1">
      <c r="A51" s="6" t="s">
        <v>95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</row>
    <row r="52" ht="15.0" customHeight="1">
      <c r="A52" s="15" t="s">
        <v>96</v>
      </c>
      <c r="B52" s="16" t="s">
        <v>95</v>
      </c>
      <c r="C52" s="17" t="s">
        <v>36</v>
      </c>
      <c r="D52" s="18" t="s">
        <v>17</v>
      </c>
      <c r="E52" s="17" t="s">
        <v>28</v>
      </c>
      <c r="F52" s="18" t="s">
        <v>29</v>
      </c>
      <c r="G52" s="18" t="s">
        <v>20</v>
      </c>
      <c r="H52" s="18" t="s">
        <v>70</v>
      </c>
      <c r="I52" s="15" t="s">
        <v>71</v>
      </c>
      <c r="J52" s="19" t="s">
        <v>31</v>
      </c>
      <c r="K52" s="19" t="s">
        <v>31</v>
      </c>
      <c r="L52" s="15" t="str">
        <f t="shared" ref="L52:L55" si="8">IF(K52="","—",IF(J52=K52,"MATCH","MISMATCH"))</f>
        <v>MATCH</v>
      </c>
    </row>
    <row r="53" ht="15.0" customHeight="1">
      <c r="A53" s="9" t="s">
        <v>97</v>
      </c>
      <c r="B53" s="10" t="s">
        <v>95</v>
      </c>
      <c r="C53" s="11" t="s">
        <v>36</v>
      </c>
      <c r="D53" s="12" t="s">
        <v>17</v>
      </c>
      <c r="E53" s="11" t="s">
        <v>28</v>
      </c>
      <c r="F53" s="12" t="s">
        <v>34</v>
      </c>
      <c r="G53" s="12" t="s">
        <v>20</v>
      </c>
      <c r="H53" s="12" t="s">
        <v>76</v>
      </c>
      <c r="I53" s="9" t="s">
        <v>71</v>
      </c>
      <c r="J53" s="19" t="s">
        <v>31</v>
      </c>
      <c r="K53" s="14" t="s">
        <v>77</v>
      </c>
      <c r="L53" s="9" t="str">
        <f t="shared" si="8"/>
        <v>MISMATCH</v>
      </c>
    </row>
    <row r="54" ht="15.0" customHeight="1">
      <c r="A54" s="15" t="s">
        <v>98</v>
      </c>
      <c r="B54" s="16" t="s">
        <v>95</v>
      </c>
      <c r="C54" s="17" t="s">
        <v>41</v>
      </c>
      <c r="D54" s="18" t="s">
        <v>17</v>
      </c>
      <c r="E54" s="17" t="s">
        <v>28</v>
      </c>
      <c r="F54" s="18" t="s">
        <v>89</v>
      </c>
      <c r="G54" s="18" t="s">
        <v>20</v>
      </c>
      <c r="H54" s="18" t="s">
        <v>90</v>
      </c>
      <c r="I54" s="15" t="s">
        <v>71</v>
      </c>
      <c r="J54" s="19" t="s">
        <v>31</v>
      </c>
      <c r="K54" s="19" t="s">
        <v>31</v>
      </c>
      <c r="L54" s="15" t="str">
        <f t="shared" si="8"/>
        <v>MATCH</v>
      </c>
    </row>
    <row r="55" ht="15.0" customHeight="1">
      <c r="A55" s="9" t="s">
        <v>99</v>
      </c>
      <c r="B55" s="10" t="s">
        <v>95</v>
      </c>
      <c r="C55" s="11" t="s">
        <v>41</v>
      </c>
      <c r="D55" s="12" t="s">
        <v>17</v>
      </c>
      <c r="E55" s="11" t="s">
        <v>28</v>
      </c>
      <c r="F55" s="12" t="s">
        <v>52</v>
      </c>
      <c r="G55" s="12" t="s">
        <v>20</v>
      </c>
      <c r="H55" s="12" t="s">
        <v>94</v>
      </c>
      <c r="I55" s="9" t="s">
        <v>71</v>
      </c>
      <c r="J55" s="19" t="s">
        <v>31</v>
      </c>
      <c r="K55" s="14" t="s">
        <v>23</v>
      </c>
      <c r="L55" s="9" t="str">
        <f t="shared" si="8"/>
        <v>MISMATCH</v>
      </c>
    </row>
    <row r="56" ht="15.75" customHeight="1"/>
    <row r="57" ht="15.0" customHeight="1">
      <c r="A57" s="6" t="s">
        <v>100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</row>
    <row r="58" ht="15.0" customHeight="1">
      <c r="A58" s="15" t="s">
        <v>101</v>
      </c>
      <c r="B58" s="16" t="s">
        <v>100</v>
      </c>
      <c r="C58" s="17" t="s">
        <v>16</v>
      </c>
      <c r="D58" s="18" t="s">
        <v>17</v>
      </c>
      <c r="E58" s="17" t="s">
        <v>18</v>
      </c>
      <c r="F58" s="18" t="s">
        <v>37</v>
      </c>
      <c r="G58" s="18" t="s">
        <v>20</v>
      </c>
      <c r="H58" s="18" t="s">
        <v>70</v>
      </c>
      <c r="I58" s="15" t="s">
        <v>71</v>
      </c>
      <c r="J58" s="19" t="s">
        <v>31</v>
      </c>
      <c r="K58" s="14" t="s">
        <v>23</v>
      </c>
      <c r="L58" s="15" t="str">
        <f t="shared" ref="L58:L61" si="9">IF(K58="","—",IF(J58=K58,"MATCH","MISMATCH"))</f>
        <v>MISMATCH</v>
      </c>
    </row>
    <row r="59" ht="15.0" customHeight="1">
      <c r="A59" s="9" t="s">
        <v>102</v>
      </c>
      <c r="B59" s="10" t="s">
        <v>100</v>
      </c>
      <c r="C59" s="11" t="s">
        <v>16</v>
      </c>
      <c r="D59" s="12" t="s">
        <v>17</v>
      </c>
      <c r="E59" s="11" t="s">
        <v>18</v>
      </c>
      <c r="F59" s="12" t="s">
        <v>19</v>
      </c>
      <c r="G59" s="12" t="s">
        <v>20</v>
      </c>
      <c r="H59" s="12" t="s">
        <v>76</v>
      </c>
      <c r="I59" s="9" t="s">
        <v>71</v>
      </c>
      <c r="J59" s="19" t="s">
        <v>31</v>
      </c>
      <c r="K59" s="14" t="s">
        <v>77</v>
      </c>
      <c r="L59" s="9" t="str">
        <f t="shared" si="9"/>
        <v>MISMATCH</v>
      </c>
    </row>
    <row r="60" ht="15.0" customHeight="1">
      <c r="A60" s="15" t="s">
        <v>103</v>
      </c>
      <c r="B60" s="16" t="s">
        <v>100</v>
      </c>
      <c r="C60" s="17" t="s">
        <v>36</v>
      </c>
      <c r="D60" s="18" t="s">
        <v>17</v>
      </c>
      <c r="E60" s="17" t="s">
        <v>18</v>
      </c>
      <c r="F60" s="18" t="s">
        <v>42</v>
      </c>
      <c r="G60" s="18" t="s">
        <v>20</v>
      </c>
      <c r="H60" s="18" t="s">
        <v>94</v>
      </c>
      <c r="I60" s="15" t="s">
        <v>71</v>
      </c>
      <c r="J60" s="19" t="s">
        <v>31</v>
      </c>
      <c r="K60" s="14" t="s">
        <v>23</v>
      </c>
      <c r="L60" s="15" t="str">
        <f t="shared" si="9"/>
        <v>MISMATCH</v>
      </c>
    </row>
    <row r="61" ht="15.0" customHeight="1">
      <c r="A61" s="9" t="s">
        <v>104</v>
      </c>
      <c r="B61" s="10" t="s">
        <v>100</v>
      </c>
      <c r="C61" s="11" t="s">
        <v>41</v>
      </c>
      <c r="D61" s="12" t="s">
        <v>17</v>
      </c>
      <c r="E61" s="11" t="s">
        <v>18</v>
      </c>
      <c r="F61" s="12" t="s">
        <v>59</v>
      </c>
      <c r="G61" s="12" t="s">
        <v>20</v>
      </c>
      <c r="H61" s="12" t="s">
        <v>105</v>
      </c>
      <c r="I61" s="9" t="s">
        <v>71</v>
      </c>
      <c r="J61" s="19" t="s">
        <v>31</v>
      </c>
      <c r="K61" s="14" t="s">
        <v>23</v>
      </c>
      <c r="L61" s="9" t="str">
        <f t="shared" si="9"/>
        <v>MISMATCH</v>
      </c>
    </row>
    <row r="62" ht="15.75" customHeight="1"/>
    <row r="63" ht="15.0" customHeight="1">
      <c r="A63" s="6" t="s">
        <v>106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</row>
    <row r="64" ht="15.0" customHeight="1">
      <c r="A64" s="15" t="s">
        <v>107</v>
      </c>
      <c r="B64" s="16" t="s">
        <v>106</v>
      </c>
      <c r="C64" s="17" t="s">
        <v>16</v>
      </c>
      <c r="D64" s="18" t="s">
        <v>17</v>
      </c>
      <c r="E64" s="17" t="s">
        <v>18</v>
      </c>
      <c r="F64" s="18" t="s">
        <v>25</v>
      </c>
      <c r="G64" s="18" t="s">
        <v>20</v>
      </c>
      <c r="H64" s="18" t="s">
        <v>70</v>
      </c>
      <c r="I64" s="15" t="s">
        <v>71</v>
      </c>
      <c r="J64" s="19" t="s">
        <v>31</v>
      </c>
      <c r="K64" s="14" t="s">
        <v>23</v>
      </c>
      <c r="L64" s="15" t="str">
        <f t="shared" ref="L64:L67" si="10">IF(K64="","—",IF(J64=K64,"MATCH","MISMATCH"))</f>
        <v>MISMATCH</v>
      </c>
    </row>
    <row r="65" ht="15.0" customHeight="1">
      <c r="A65" s="9" t="s">
        <v>108</v>
      </c>
      <c r="B65" s="10" t="s">
        <v>106</v>
      </c>
      <c r="C65" s="11" t="s">
        <v>16</v>
      </c>
      <c r="D65" s="12" t="s">
        <v>17</v>
      </c>
      <c r="E65" s="11" t="s">
        <v>18</v>
      </c>
      <c r="F65" s="12" t="s">
        <v>109</v>
      </c>
      <c r="G65" s="12" t="s">
        <v>20</v>
      </c>
      <c r="H65" s="12" t="s">
        <v>76</v>
      </c>
      <c r="I65" s="9" t="s">
        <v>71</v>
      </c>
      <c r="J65" s="19" t="s">
        <v>31</v>
      </c>
      <c r="K65" s="14" t="s">
        <v>77</v>
      </c>
      <c r="L65" s="9" t="str">
        <f t="shared" si="10"/>
        <v>MISMATCH</v>
      </c>
    </row>
    <row r="66" ht="15.0" customHeight="1">
      <c r="A66" s="15" t="s">
        <v>110</v>
      </c>
      <c r="B66" s="16" t="s">
        <v>106</v>
      </c>
      <c r="C66" s="17" t="s">
        <v>36</v>
      </c>
      <c r="D66" s="18" t="s">
        <v>17</v>
      </c>
      <c r="E66" s="17" t="s">
        <v>18</v>
      </c>
      <c r="F66" s="18" t="s">
        <v>25</v>
      </c>
      <c r="G66" s="18" t="s">
        <v>20</v>
      </c>
      <c r="H66" s="18" t="s">
        <v>94</v>
      </c>
      <c r="I66" s="15" t="s">
        <v>71</v>
      </c>
      <c r="J66" s="19" t="s">
        <v>31</v>
      </c>
      <c r="K66" s="14" t="s">
        <v>23</v>
      </c>
      <c r="L66" s="15" t="str">
        <f t="shared" si="10"/>
        <v>MISMATCH</v>
      </c>
    </row>
    <row r="67" ht="15.0" customHeight="1">
      <c r="A67" s="9" t="s">
        <v>111</v>
      </c>
      <c r="B67" s="10" t="s">
        <v>106</v>
      </c>
      <c r="C67" s="11" t="s">
        <v>41</v>
      </c>
      <c r="D67" s="12" t="s">
        <v>17</v>
      </c>
      <c r="E67" s="11" t="s">
        <v>18</v>
      </c>
      <c r="F67" s="12" t="s">
        <v>109</v>
      </c>
      <c r="G67" s="12" t="s">
        <v>20</v>
      </c>
      <c r="H67" s="12" t="s">
        <v>66</v>
      </c>
      <c r="I67" s="9" t="s">
        <v>71</v>
      </c>
      <c r="J67" s="19" t="s">
        <v>31</v>
      </c>
      <c r="K67" s="19" t="s">
        <v>31</v>
      </c>
      <c r="L67" s="9" t="str">
        <f t="shared" si="10"/>
        <v>MATCH</v>
      </c>
    </row>
    <row r="68" ht="15.75" customHeight="1"/>
    <row r="69" ht="15.0" customHeight="1">
      <c r="A69" s="6" t="s">
        <v>112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8"/>
    </row>
    <row r="70" ht="15.0" customHeight="1">
      <c r="A70" s="15" t="s">
        <v>113</v>
      </c>
      <c r="B70" s="16" t="s">
        <v>112</v>
      </c>
      <c r="C70" s="17" t="s">
        <v>16</v>
      </c>
      <c r="D70" s="18" t="s">
        <v>17</v>
      </c>
      <c r="E70" s="17" t="s">
        <v>28</v>
      </c>
      <c r="F70" s="18" t="s">
        <v>29</v>
      </c>
      <c r="G70" s="18" t="s">
        <v>114</v>
      </c>
      <c r="H70" s="18" t="s">
        <v>115</v>
      </c>
      <c r="I70" s="15" t="s">
        <v>116</v>
      </c>
      <c r="J70" s="20" t="s">
        <v>72</v>
      </c>
      <c r="K70" s="14" t="s">
        <v>72</v>
      </c>
      <c r="L70" s="15" t="str">
        <f t="shared" ref="L70:L75" si="11">IF(K70="","—",IF(J70=K70,"MATCH","MISMATCH"))</f>
        <v>MATCH</v>
      </c>
    </row>
    <row r="71" ht="15.0" customHeight="1">
      <c r="A71" s="9" t="s">
        <v>117</v>
      </c>
      <c r="B71" s="10" t="s">
        <v>112</v>
      </c>
      <c r="C71" s="11" t="s">
        <v>16</v>
      </c>
      <c r="D71" s="12" t="s">
        <v>17</v>
      </c>
      <c r="E71" s="11" t="s">
        <v>28</v>
      </c>
      <c r="F71" s="12" t="s">
        <v>34</v>
      </c>
      <c r="G71" s="12" t="s">
        <v>114</v>
      </c>
      <c r="H71" s="12" t="s">
        <v>118</v>
      </c>
      <c r="I71" s="9" t="s">
        <v>116</v>
      </c>
      <c r="J71" s="20" t="s">
        <v>72</v>
      </c>
      <c r="K71" s="14" t="s">
        <v>72</v>
      </c>
      <c r="L71" s="9" t="str">
        <f t="shared" si="11"/>
        <v>MATCH</v>
      </c>
    </row>
    <row r="72" ht="15.0" customHeight="1">
      <c r="A72" s="15" t="s">
        <v>119</v>
      </c>
      <c r="B72" s="16" t="s">
        <v>112</v>
      </c>
      <c r="C72" s="17" t="s">
        <v>16</v>
      </c>
      <c r="D72" s="18" t="s">
        <v>17</v>
      </c>
      <c r="E72" s="17" t="s">
        <v>28</v>
      </c>
      <c r="F72" s="18" t="s">
        <v>69</v>
      </c>
      <c r="G72" s="18" t="s">
        <v>114</v>
      </c>
      <c r="H72" s="18" t="s">
        <v>120</v>
      </c>
      <c r="I72" s="15" t="s">
        <v>116</v>
      </c>
      <c r="J72" s="20" t="s">
        <v>72</v>
      </c>
      <c r="K72" s="14" t="s">
        <v>72</v>
      </c>
      <c r="L72" s="15" t="str">
        <f t="shared" si="11"/>
        <v>MATCH</v>
      </c>
    </row>
    <row r="73" ht="15.0" customHeight="1">
      <c r="A73" s="9" t="s">
        <v>121</v>
      </c>
      <c r="B73" s="10" t="s">
        <v>112</v>
      </c>
      <c r="C73" s="11" t="s">
        <v>16</v>
      </c>
      <c r="D73" s="12" t="s">
        <v>17</v>
      </c>
      <c r="E73" s="11" t="s">
        <v>28</v>
      </c>
      <c r="F73" s="12" t="s">
        <v>74</v>
      </c>
      <c r="G73" s="12" t="s">
        <v>114</v>
      </c>
      <c r="H73" s="12" t="s">
        <v>122</v>
      </c>
      <c r="I73" s="9" t="s">
        <v>116</v>
      </c>
      <c r="J73" s="20" t="s">
        <v>72</v>
      </c>
      <c r="K73" s="14" t="s">
        <v>77</v>
      </c>
      <c r="L73" s="9" t="str">
        <f t="shared" si="11"/>
        <v>MISMATCH</v>
      </c>
    </row>
    <row r="74" ht="15.0" customHeight="1">
      <c r="A74" s="15" t="s">
        <v>123</v>
      </c>
      <c r="B74" s="16" t="s">
        <v>112</v>
      </c>
      <c r="C74" s="17" t="s">
        <v>36</v>
      </c>
      <c r="D74" s="18" t="s">
        <v>17</v>
      </c>
      <c r="E74" s="17" t="s">
        <v>28</v>
      </c>
      <c r="F74" s="18" t="s">
        <v>29</v>
      </c>
      <c r="G74" s="18" t="s">
        <v>114</v>
      </c>
      <c r="H74" s="18" t="s">
        <v>115</v>
      </c>
      <c r="I74" s="15" t="s">
        <v>116</v>
      </c>
      <c r="J74" s="20" t="s">
        <v>72</v>
      </c>
      <c r="K74" s="14" t="s">
        <v>72</v>
      </c>
      <c r="L74" s="15" t="str">
        <f t="shared" si="11"/>
        <v>MATCH</v>
      </c>
    </row>
    <row r="75" ht="15.0" customHeight="1">
      <c r="A75" s="9" t="s">
        <v>124</v>
      </c>
      <c r="B75" s="10" t="s">
        <v>112</v>
      </c>
      <c r="C75" s="11" t="s">
        <v>41</v>
      </c>
      <c r="D75" s="12" t="s">
        <v>17</v>
      </c>
      <c r="E75" s="11" t="s">
        <v>28</v>
      </c>
      <c r="F75" s="12" t="s">
        <v>89</v>
      </c>
      <c r="G75" s="12" t="s">
        <v>114</v>
      </c>
      <c r="H75" s="12" t="s">
        <v>118</v>
      </c>
      <c r="I75" s="9" t="s">
        <v>116</v>
      </c>
      <c r="J75" s="20" t="s">
        <v>72</v>
      </c>
      <c r="K75" s="14" t="s">
        <v>72</v>
      </c>
      <c r="L75" s="9" t="str">
        <f t="shared" si="11"/>
        <v>MATCH</v>
      </c>
    </row>
    <row r="76" ht="15.75" customHeight="1"/>
    <row r="77" ht="15.0" customHeight="1">
      <c r="A77" s="6" t="s">
        <v>125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8"/>
    </row>
    <row r="78" ht="15.0" customHeight="1">
      <c r="A78" s="15" t="s">
        <v>126</v>
      </c>
      <c r="B78" s="16" t="s">
        <v>125</v>
      </c>
      <c r="C78" s="17" t="s">
        <v>16</v>
      </c>
      <c r="D78" s="18" t="s">
        <v>17</v>
      </c>
      <c r="E78" s="17" t="s">
        <v>28</v>
      </c>
      <c r="F78" s="18" t="s">
        <v>29</v>
      </c>
      <c r="G78" s="18" t="s">
        <v>114</v>
      </c>
      <c r="H78" s="18" t="s">
        <v>127</v>
      </c>
      <c r="I78" s="15" t="s">
        <v>116</v>
      </c>
      <c r="J78" s="20" t="s">
        <v>72</v>
      </c>
      <c r="K78" s="14" t="s">
        <v>72</v>
      </c>
      <c r="L78" s="15" t="str">
        <f t="shared" ref="L78:L81" si="12">IF(K78="","—",IF(J78=K78,"MATCH","MISMATCH"))</f>
        <v>MATCH</v>
      </c>
    </row>
    <row r="79" ht="15.0" customHeight="1">
      <c r="A79" s="9" t="s">
        <v>128</v>
      </c>
      <c r="B79" s="10" t="s">
        <v>125</v>
      </c>
      <c r="C79" s="11" t="s">
        <v>16</v>
      </c>
      <c r="D79" s="12" t="s">
        <v>17</v>
      </c>
      <c r="E79" s="11" t="s">
        <v>28</v>
      </c>
      <c r="F79" s="12" t="s">
        <v>34</v>
      </c>
      <c r="G79" s="12" t="s">
        <v>114</v>
      </c>
      <c r="H79" s="12" t="s">
        <v>129</v>
      </c>
      <c r="I79" s="9" t="s">
        <v>116</v>
      </c>
      <c r="J79" s="20" t="s">
        <v>72</v>
      </c>
      <c r="K79" s="14" t="s">
        <v>72</v>
      </c>
      <c r="L79" s="9" t="str">
        <f t="shared" si="12"/>
        <v>MATCH</v>
      </c>
    </row>
    <row r="80" ht="15.0" customHeight="1">
      <c r="A80" s="15" t="s">
        <v>130</v>
      </c>
      <c r="B80" s="16" t="s">
        <v>125</v>
      </c>
      <c r="C80" s="17" t="s">
        <v>16</v>
      </c>
      <c r="D80" s="18" t="s">
        <v>17</v>
      </c>
      <c r="E80" s="17" t="s">
        <v>28</v>
      </c>
      <c r="F80" s="18" t="s">
        <v>69</v>
      </c>
      <c r="G80" s="18" t="s">
        <v>114</v>
      </c>
      <c r="H80" s="18" t="s">
        <v>131</v>
      </c>
      <c r="I80" s="15" t="s">
        <v>116</v>
      </c>
      <c r="J80" s="20" t="s">
        <v>72</v>
      </c>
      <c r="K80" s="14" t="s">
        <v>72</v>
      </c>
      <c r="L80" s="15" t="str">
        <f t="shared" si="12"/>
        <v>MATCH</v>
      </c>
    </row>
    <row r="81" ht="15.0" customHeight="1">
      <c r="A81" s="9" t="s">
        <v>132</v>
      </c>
      <c r="B81" s="10" t="s">
        <v>125</v>
      </c>
      <c r="C81" s="11" t="s">
        <v>41</v>
      </c>
      <c r="D81" s="12" t="s">
        <v>17</v>
      </c>
      <c r="E81" s="11" t="s">
        <v>28</v>
      </c>
      <c r="F81" s="12" t="s">
        <v>44</v>
      </c>
      <c r="G81" s="12" t="s">
        <v>114</v>
      </c>
      <c r="H81" s="12" t="s">
        <v>127</v>
      </c>
      <c r="I81" s="9" t="s">
        <v>116</v>
      </c>
      <c r="J81" s="20" t="s">
        <v>72</v>
      </c>
      <c r="K81" s="14" t="s">
        <v>32</v>
      </c>
      <c r="L81" s="9" t="str">
        <f t="shared" si="12"/>
        <v>MISMATCH</v>
      </c>
    </row>
    <row r="82" ht="15.75" customHeight="1"/>
    <row r="83" ht="15.0" customHeight="1">
      <c r="A83" s="6" t="s">
        <v>133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</row>
    <row r="84" ht="15.0" customHeight="1">
      <c r="A84" s="15" t="s">
        <v>134</v>
      </c>
      <c r="B84" s="16" t="s">
        <v>133</v>
      </c>
      <c r="C84" s="17" t="s">
        <v>16</v>
      </c>
      <c r="D84" s="18" t="s">
        <v>17</v>
      </c>
      <c r="E84" s="17" t="s">
        <v>28</v>
      </c>
      <c r="F84" s="18" t="s">
        <v>29</v>
      </c>
      <c r="G84" s="18" t="s">
        <v>114</v>
      </c>
      <c r="H84" s="18" t="s">
        <v>135</v>
      </c>
      <c r="I84" s="15" t="s">
        <v>116</v>
      </c>
      <c r="J84" s="20" t="s">
        <v>72</v>
      </c>
      <c r="K84" s="14" t="s">
        <v>72</v>
      </c>
      <c r="L84" s="15" t="str">
        <f t="shared" ref="L84:L85" si="13">IF(K84="","—",IF(J84=K84,"MATCH","MISMATCH"))</f>
        <v>MATCH</v>
      </c>
    </row>
    <row r="85" ht="15.0" customHeight="1">
      <c r="A85" s="9" t="s">
        <v>136</v>
      </c>
      <c r="B85" s="10" t="s">
        <v>133</v>
      </c>
      <c r="C85" s="11" t="s">
        <v>41</v>
      </c>
      <c r="D85" s="12" t="s">
        <v>17</v>
      </c>
      <c r="E85" s="11" t="s">
        <v>28</v>
      </c>
      <c r="F85" s="12" t="s">
        <v>34</v>
      </c>
      <c r="G85" s="12" t="s">
        <v>114</v>
      </c>
      <c r="H85" s="12" t="s">
        <v>135</v>
      </c>
      <c r="I85" s="9" t="s">
        <v>116</v>
      </c>
      <c r="J85" s="20" t="s">
        <v>72</v>
      </c>
      <c r="K85" s="14" t="s">
        <v>32</v>
      </c>
      <c r="L85" s="9" t="str">
        <f t="shared" si="13"/>
        <v>MISMATCH</v>
      </c>
    </row>
    <row r="86" ht="15.75" customHeight="1"/>
    <row r="87" ht="15.0" customHeight="1">
      <c r="A87" s="6" t="s">
        <v>137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</row>
    <row r="88" ht="15.0" customHeight="1">
      <c r="A88" s="15" t="s">
        <v>138</v>
      </c>
      <c r="B88" s="16" t="s">
        <v>137</v>
      </c>
      <c r="C88" s="17" t="s">
        <v>16</v>
      </c>
      <c r="D88" s="18" t="s">
        <v>17</v>
      </c>
      <c r="E88" s="17" t="s">
        <v>18</v>
      </c>
      <c r="F88" s="18" t="s">
        <v>37</v>
      </c>
      <c r="G88" s="18" t="s">
        <v>114</v>
      </c>
      <c r="H88" s="18" t="s">
        <v>115</v>
      </c>
      <c r="I88" s="15" t="s">
        <v>116</v>
      </c>
      <c r="J88" s="20" t="s">
        <v>72</v>
      </c>
      <c r="K88" s="14" t="s">
        <v>72</v>
      </c>
      <c r="L88" s="15" t="str">
        <f t="shared" ref="L88:L92" si="14">IF(K88="","—",IF(J88=K88,"MATCH","MISMATCH"))</f>
        <v>MATCH</v>
      </c>
    </row>
    <row r="89" ht="15.0" customHeight="1">
      <c r="A89" s="9" t="s">
        <v>139</v>
      </c>
      <c r="B89" s="10" t="s">
        <v>137</v>
      </c>
      <c r="C89" s="11" t="s">
        <v>16</v>
      </c>
      <c r="D89" s="12" t="s">
        <v>17</v>
      </c>
      <c r="E89" s="11" t="s">
        <v>18</v>
      </c>
      <c r="F89" s="12" t="s">
        <v>19</v>
      </c>
      <c r="G89" s="12" t="s">
        <v>114</v>
      </c>
      <c r="H89" s="12" t="s">
        <v>118</v>
      </c>
      <c r="I89" s="9" t="s">
        <v>116</v>
      </c>
      <c r="J89" s="20" t="s">
        <v>72</v>
      </c>
      <c r="K89" s="14" t="s">
        <v>72</v>
      </c>
      <c r="L89" s="9" t="str">
        <f t="shared" si="14"/>
        <v>MATCH</v>
      </c>
    </row>
    <row r="90" ht="15.0" customHeight="1">
      <c r="A90" s="15" t="s">
        <v>140</v>
      </c>
      <c r="B90" s="16" t="s">
        <v>137</v>
      </c>
      <c r="C90" s="17" t="s">
        <v>16</v>
      </c>
      <c r="D90" s="18" t="s">
        <v>17</v>
      </c>
      <c r="E90" s="17" t="s">
        <v>18</v>
      </c>
      <c r="F90" s="18" t="s">
        <v>42</v>
      </c>
      <c r="G90" s="18" t="s">
        <v>114</v>
      </c>
      <c r="H90" s="18" t="s">
        <v>120</v>
      </c>
      <c r="I90" s="15" t="s">
        <v>116</v>
      </c>
      <c r="J90" s="20" t="s">
        <v>72</v>
      </c>
      <c r="K90" s="14" t="s">
        <v>72</v>
      </c>
      <c r="L90" s="15" t="str">
        <f t="shared" si="14"/>
        <v>MATCH</v>
      </c>
    </row>
    <row r="91" ht="15.0" customHeight="1">
      <c r="A91" s="9" t="s">
        <v>141</v>
      </c>
      <c r="B91" s="10" t="s">
        <v>137</v>
      </c>
      <c r="C91" s="11" t="s">
        <v>36</v>
      </c>
      <c r="D91" s="12" t="s">
        <v>17</v>
      </c>
      <c r="E91" s="11" t="s">
        <v>18</v>
      </c>
      <c r="F91" s="12" t="s">
        <v>37</v>
      </c>
      <c r="G91" s="12" t="s">
        <v>114</v>
      </c>
      <c r="H91" s="12" t="s">
        <v>122</v>
      </c>
      <c r="I91" s="9" t="s">
        <v>116</v>
      </c>
      <c r="J91" s="20" t="s">
        <v>72</v>
      </c>
      <c r="K91" s="14" t="s">
        <v>77</v>
      </c>
      <c r="L91" s="9" t="str">
        <f t="shared" si="14"/>
        <v>MISMATCH</v>
      </c>
    </row>
    <row r="92" ht="15.0" customHeight="1">
      <c r="A92" s="15" t="s">
        <v>142</v>
      </c>
      <c r="B92" s="16" t="s">
        <v>137</v>
      </c>
      <c r="C92" s="17" t="s">
        <v>41</v>
      </c>
      <c r="D92" s="18" t="s">
        <v>17</v>
      </c>
      <c r="E92" s="17" t="s">
        <v>18</v>
      </c>
      <c r="F92" s="18" t="s">
        <v>59</v>
      </c>
      <c r="G92" s="18" t="s">
        <v>114</v>
      </c>
      <c r="H92" s="18" t="s">
        <v>115</v>
      </c>
      <c r="I92" s="15" t="s">
        <v>116</v>
      </c>
      <c r="J92" s="20" t="s">
        <v>72</v>
      </c>
      <c r="K92" s="14" t="s">
        <v>32</v>
      </c>
      <c r="L92" s="15" t="str">
        <f t="shared" si="14"/>
        <v>MISMATCH</v>
      </c>
    </row>
    <row r="93" ht="15.75" customHeight="1"/>
    <row r="94" ht="15.0" customHeight="1">
      <c r="A94" s="6" t="s">
        <v>143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8"/>
    </row>
    <row r="95" ht="15.0" customHeight="1">
      <c r="A95" s="9" t="s">
        <v>144</v>
      </c>
      <c r="B95" s="10" t="s">
        <v>143</v>
      </c>
      <c r="C95" s="11" t="s">
        <v>16</v>
      </c>
      <c r="D95" s="12" t="s">
        <v>17</v>
      </c>
      <c r="E95" s="11" t="s">
        <v>18</v>
      </c>
      <c r="F95" s="12" t="s">
        <v>37</v>
      </c>
      <c r="G95" s="12" t="s">
        <v>114</v>
      </c>
      <c r="H95" s="12" t="s">
        <v>127</v>
      </c>
      <c r="I95" s="9" t="s">
        <v>116</v>
      </c>
      <c r="J95" s="21" t="s">
        <v>32</v>
      </c>
      <c r="K95" s="14" t="s">
        <v>32</v>
      </c>
      <c r="L95" s="9" t="str">
        <f t="shared" ref="L95:L99" si="15">IF(K95="","—",IF(J95=K95,"MATCH","MISMATCH"))</f>
        <v>MATCH</v>
      </c>
    </row>
    <row r="96" ht="15.0" customHeight="1">
      <c r="A96" s="15" t="s">
        <v>145</v>
      </c>
      <c r="B96" s="16" t="s">
        <v>143</v>
      </c>
      <c r="C96" s="17" t="s">
        <v>16</v>
      </c>
      <c r="D96" s="18" t="s">
        <v>17</v>
      </c>
      <c r="E96" s="17" t="s">
        <v>18</v>
      </c>
      <c r="F96" s="18" t="s">
        <v>19</v>
      </c>
      <c r="G96" s="18" t="s">
        <v>114</v>
      </c>
      <c r="H96" s="18" t="s">
        <v>129</v>
      </c>
      <c r="I96" s="15" t="s">
        <v>116</v>
      </c>
      <c r="J96" s="21" t="s">
        <v>32</v>
      </c>
      <c r="K96" s="14" t="s">
        <v>32</v>
      </c>
      <c r="L96" s="15" t="str">
        <f t="shared" si="15"/>
        <v>MATCH</v>
      </c>
    </row>
    <row r="97" ht="15.0" customHeight="1">
      <c r="A97" s="9" t="s">
        <v>146</v>
      </c>
      <c r="B97" s="10" t="s">
        <v>143</v>
      </c>
      <c r="C97" s="11" t="s">
        <v>16</v>
      </c>
      <c r="D97" s="12" t="s">
        <v>17</v>
      </c>
      <c r="E97" s="11" t="s">
        <v>18</v>
      </c>
      <c r="F97" s="12" t="s">
        <v>42</v>
      </c>
      <c r="G97" s="12" t="s">
        <v>114</v>
      </c>
      <c r="H97" s="12" t="s">
        <v>131</v>
      </c>
      <c r="I97" s="9" t="s">
        <v>116</v>
      </c>
      <c r="J97" s="21" t="s">
        <v>32</v>
      </c>
      <c r="K97" s="14" t="s">
        <v>72</v>
      </c>
      <c r="L97" s="9" t="str">
        <f t="shared" si="15"/>
        <v>MISMATCH</v>
      </c>
    </row>
    <row r="98" ht="15.0" customHeight="1">
      <c r="A98" s="15" t="s">
        <v>147</v>
      </c>
      <c r="B98" s="16" t="s">
        <v>143</v>
      </c>
      <c r="C98" s="17" t="s">
        <v>36</v>
      </c>
      <c r="D98" s="18" t="s">
        <v>17</v>
      </c>
      <c r="E98" s="17" t="s">
        <v>18</v>
      </c>
      <c r="F98" s="18" t="s">
        <v>59</v>
      </c>
      <c r="G98" s="18" t="s">
        <v>114</v>
      </c>
      <c r="H98" s="18" t="s">
        <v>127</v>
      </c>
      <c r="I98" s="15" t="s">
        <v>116</v>
      </c>
      <c r="J98" s="21" t="s">
        <v>32</v>
      </c>
      <c r="K98" s="14" t="s">
        <v>32</v>
      </c>
      <c r="L98" s="15" t="str">
        <f t="shared" si="15"/>
        <v>MATCH</v>
      </c>
    </row>
    <row r="99" ht="15.0" customHeight="1">
      <c r="A99" s="9" t="s">
        <v>148</v>
      </c>
      <c r="B99" s="10" t="s">
        <v>143</v>
      </c>
      <c r="C99" s="11" t="s">
        <v>41</v>
      </c>
      <c r="D99" s="12" t="s">
        <v>17</v>
      </c>
      <c r="E99" s="11" t="s">
        <v>18</v>
      </c>
      <c r="F99" s="12" t="s">
        <v>25</v>
      </c>
      <c r="G99" s="12" t="s">
        <v>114</v>
      </c>
      <c r="H99" s="12" t="s">
        <v>129</v>
      </c>
      <c r="I99" s="9" t="s">
        <v>116</v>
      </c>
      <c r="J99" s="21" t="s">
        <v>32</v>
      </c>
      <c r="K99" s="19" t="s">
        <v>31</v>
      </c>
      <c r="L99" s="9" t="str">
        <f t="shared" si="15"/>
        <v>MISMATCH</v>
      </c>
    </row>
    <row r="100" ht="15.75" customHeight="1"/>
    <row r="101" ht="15.0" customHeight="1">
      <c r="A101" s="6" t="s">
        <v>149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</row>
    <row r="102" ht="15.0" customHeight="1">
      <c r="A102" s="15" t="s">
        <v>150</v>
      </c>
      <c r="B102" s="16" t="s">
        <v>149</v>
      </c>
      <c r="C102" s="17" t="s">
        <v>16</v>
      </c>
      <c r="D102" s="18" t="s">
        <v>17</v>
      </c>
      <c r="E102" s="17" t="s">
        <v>18</v>
      </c>
      <c r="F102" s="18" t="s">
        <v>37</v>
      </c>
      <c r="G102" s="18" t="s">
        <v>114</v>
      </c>
      <c r="H102" s="18" t="s">
        <v>135</v>
      </c>
      <c r="I102" s="15" t="s">
        <v>116</v>
      </c>
      <c r="J102" s="19" t="s">
        <v>31</v>
      </c>
      <c r="K102" s="14" t="s">
        <v>32</v>
      </c>
      <c r="L102" s="15" t="str">
        <f t="shared" ref="L102:L104" si="16">IF(K102="","—",IF(J102=K102,"MATCH","MISMATCH"))</f>
        <v>MISMATCH</v>
      </c>
    </row>
    <row r="103" ht="15.0" customHeight="1">
      <c r="A103" s="9" t="s">
        <v>151</v>
      </c>
      <c r="B103" s="10" t="s">
        <v>149</v>
      </c>
      <c r="C103" s="11" t="s">
        <v>36</v>
      </c>
      <c r="D103" s="12" t="s">
        <v>17</v>
      </c>
      <c r="E103" s="11" t="s">
        <v>18</v>
      </c>
      <c r="F103" s="12" t="s">
        <v>19</v>
      </c>
      <c r="G103" s="12" t="s">
        <v>114</v>
      </c>
      <c r="H103" s="12" t="s">
        <v>135</v>
      </c>
      <c r="I103" s="9" t="s">
        <v>116</v>
      </c>
      <c r="J103" s="19" t="s">
        <v>31</v>
      </c>
      <c r="K103" s="14" t="s">
        <v>32</v>
      </c>
      <c r="L103" s="9" t="str">
        <f t="shared" si="16"/>
        <v>MISMATCH</v>
      </c>
    </row>
    <row r="104" ht="15.0" customHeight="1">
      <c r="A104" s="15" t="s">
        <v>152</v>
      </c>
      <c r="B104" s="16" t="s">
        <v>149</v>
      </c>
      <c r="C104" s="17" t="s">
        <v>41</v>
      </c>
      <c r="D104" s="18" t="s">
        <v>17</v>
      </c>
      <c r="E104" s="17" t="s">
        <v>18</v>
      </c>
      <c r="F104" s="18" t="s">
        <v>42</v>
      </c>
      <c r="G104" s="18" t="s">
        <v>114</v>
      </c>
      <c r="H104" s="18" t="s">
        <v>135</v>
      </c>
      <c r="I104" s="15" t="s">
        <v>116</v>
      </c>
      <c r="J104" s="19" t="s">
        <v>31</v>
      </c>
      <c r="K104" s="19" t="s">
        <v>31</v>
      </c>
      <c r="L104" s="15" t="str">
        <f t="shared" si="16"/>
        <v>MATCH</v>
      </c>
    </row>
    <row r="105" ht="15.75" customHeight="1"/>
    <row r="106" ht="13.5" customHeight="1">
      <c r="A106" s="22" t="s">
        <v>153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L2"/>
    <mergeCell ref="A4:L4"/>
    <mergeCell ref="A14:L14"/>
    <mergeCell ref="A20:L20"/>
    <mergeCell ref="A26:L26"/>
    <mergeCell ref="A32:L32"/>
    <mergeCell ref="A83:L83"/>
    <mergeCell ref="A87:L87"/>
    <mergeCell ref="A94:L94"/>
    <mergeCell ref="A101:L101"/>
    <mergeCell ref="A106:L106"/>
    <mergeCell ref="A38:L38"/>
    <mergeCell ref="A44:L44"/>
    <mergeCell ref="A51:L51"/>
    <mergeCell ref="A57:L57"/>
    <mergeCell ref="A63:L63"/>
    <mergeCell ref="A69:L69"/>
    <mergeCell ref="A77:L7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55.0"/>
    <col customWidth="1" min="3" max="3" width="16.0"/>
    <col customWidth="1" min="4" max="4" width="12.0"/>
    <col customWidth="1" min="5" max="5" width="14.0"/>
    <col customWidth="1" min="6" max="6" width="50.0"/>
    <col customWidth="1" min="7" max="26" width="8.71"/>
  </cols>
  <sheetData>
    <row r="1" ht="21.75" customHeight="1">
      <c r="A1" s="1" t="s">
        <v>154</v>
      </c>
      <c r="B1" s="2"/>
      <c r="C1" s="2"/>
      <c r="D1" s="2"/>
      <c r="E1" s="2"/>
      <c r="F1" s="3"/>
    </row>
    <row r="2" ht="19.5" customHeight="1">
      <c r="A2" s="5" t="s">
        <v>3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</row>
    <row r="3" ht="37.5" customHeight="1">
      <c r="A3" s="23" t="s">
        <v>160</v>
      </c>
      <c r="B3" s="24" t="s">
        <v>161</v>
      </c>
      <c r="C3" s="13" t="s">
        <v>23</v>
      </c>
      <c r="D3" s="25">
        <v>8.0</v>
      </c>
      <c r="E3" s="26" t="s">
        <v>162</v>
      </c>
      <c r="F3" s="23" t="s">
        <v>163</v>
      </c>
    </row>
    <row r="4" ht="37.5" customHeight="1">
      <c r="A4" s="27" t="s">
        <v>164</v>
      </c>
      <c r="B4" s="28" t="s">
        <v>165</v>
      </c>
      <c r="C4" s="19" t="s">
        <v>31</v>
      </c>
      <c r="D4" s="25">
        <v>4.0</v>
      </c>
      <c r="E4" s="26" t="s">
        <v>166</v>
      </c>
      <c r="F4" s="27" t="s">
        <v>167</v>
      </c>
    </row>
    <row r="5" ht="37.5" customHeight="1">
      <c r="A5" s="23" t="s">
        <v>53</v>
      </c>
      <c r="B5" s="24" t="s">
        <v>168</v>
      </c>
      <c r="C5" s="13" t="s">
        <v>23</v>
      </c>
      <c r="D5" s="25">
        <v>4.0</v>
      </c>
      <c r="E5" s="26" t="s">
        <v>169</v>
      </c>
      <c r="F5" s="23" t="s">
        <v>170</v>
      </c>
    </row>
    <row r="6" ht="37.5" customHeight="1">
      <c r="A6" s="27" t="s">
        <v>60</v>
      </c>
      <c r="B6" s="28" t="s">
        <v>171</v>
      </c>
      <c r="C6" s="13" t="s">
        <v>23</v>
      </c>
      <c r="D6" s="25">
        <v>4.0</v>
      </c>
      <c r="E6" s="26" t="s">
        <v>172</v>
      </c>
      <c r="F6" s="27" t="s">
        <v>173</v>
      </c>
    </row>
    <row r="7" ht="37.5" customHeight="1">
      <c r="A7" s="23" t="s">
        <v>174</v>
      </c>
      <c r="B7" s="24" t="s">
        <v>175</v>
      </c>
      <c r="C7" s="20" t="s">
        <v>72</v>
      </c>
      <c r="D7" s="25">
        <v>4.0</v>
      </c>
      <c r="E7" s="29" t="s">
        <v>176</v>
      </c>
      <c r="F7" s="23" t="s">
        <v>177</v>
      </c>
    </row>
    <row r="8" ht="37.5" customHeight="1">
      <c r="A8" s="27" t="s">
        <v>178</v>
      </c>
      <c r="B8" s="28" t="s">
        <v>179</v>
      </c>
      <c r="C8" s="21" t="s">
        <v>32</v>
      </c>
      <c r="D8" s="25">
        <v>4.0</v>
      </c>
      <c r="E8" s="26" t="s">
        <v>180</v>
      </c>
      <c r="F8" s="27" t="s">
        <v>181</v>
      </c>
    </row>
    <row r="9" ht="37.5" customHeight="1">
      <c r="A9" s="23" t="s">
        <v>182</v>
      </c>
      <c r="B9" s="24" t="s">
        <v>183</v>
      </c>
      <c r="C9" s="21" t="s">
        <v>32</v>
      </c>
      <c r="D9" s="25">
        <v>5.0</v>
      </c>
      <c r="E9" s="26" t="s">
        <v>184</v>
      </c>
      <c r="F9" s="23" t="s">
        <v>185</v>
      </c>
    </row>
    <row r="10" ht="37.5" customHeight="1">
      <c r="A10" s="27" t="s">
        <v>186</v>
      </c>
      <c r="B10" s="28" t="s">
        <v>187</v>
      </c>
      <c r="C10" s="19" t="s">
        <v>31</v>
      </c>
      <c r="D10" s="25">
        <v>4.0</v>
      </c>
      <c r="E10" s="29" t="s">
        <v>176</v>
      </c>
      <c r="F10" s="27" t="s">
        <v>188</v>
      </c>
    </row>
    <row r="11" ht="37.5" customHeight="1">
      <c r="A11" s="23" t="s">
        <v>189</v>
      </c>
      <c r="B11" s="24" t="s">
        <v>190</v>
      </c>
      <c r="C11" s="19" t="s">
        <v>31</v>
      </c>
      <c r="D11" s="25">
        <v>4.0</v>
      </c>
      <c r="E11" s="26" t="s">
        <v>191</v>
      </c>
      <c r="F11" s="23" t="s">
        <v>192</v>
      </c>
    </row>
    <row r="12" ht="37.5" customHeight="1">
      <c r="A12" s="27" t="s">
        <v>193</v>
      </c>
      <c r="B12" s="28" t="s">
        <v>194</v>
      </c>
      <c r="C12" s="19" t="s">
        <v>31</v>
      </c>
      <c r="D12" s="25">
        <v>4.0</v>
      </c>
      <c r="E12" s="29" t="s">
        <v>176</v>
      </c>
      <c r="F12" s="27" t="s">
        <v>195</v>
      </c>
    </row>
    <row r="13" ht="37.5" customHeight="1">
      <c r="A13" s="23" t="s">
        <v>112</v>
      </c>
      <c r="B13" s="24" t="s">
        <v>196</v>
      </c>
      <c r="C13" s="20" t="s">
        <v>72</v>
      </c>
      <c r="D13" s="25">
        <v>6.0</v>
      </c>
      <c r="E13" s="26" t="s">
        <v>197</v>
      </c>
      <c r="F13" s="23" t="s">
        <v>198</v>
      </c>
    </row>
    <row r="14" ht="37.5" customHeight="1">
      <c r="A14" s="27" t="s">
        <v>137</v>
      </c>
      <c r="B14" s="28" t="s">
        <v>199</v>
      </c>
      <c r="C14" s="20" t="s">
        <v>72</v>
      </c>
      <c r="D14" s="25">
        <v>5.0</v>
      </c>
      <c r="E14" s="26" t="s">
        <v>200</v>
      </c>
      <c r="F14" s="27" t="s">
        <v>201</v>
      </c>
    </row>
    <row r="15" ht="37.5" customHeight="1">
      <c r="A15" s="23" t="s">
        <v>143</v>
      </c>
      <c r="B15" s="24" t="s">
        <v>202</v>
      </c>
      <c r="C15" s="21" t="s">
        <v>32</v>
      </c>
      <c r="D15" s="25">
        <v>5.0</v>
      </c>
      <c r="E15" s="26" t="s">
        <v>203</v>
      </c>
      <c r="F15" s="23" t="s">
        <v>204</v>
      </c>
    </row>
    <row r="16" ht="37.5" customHeight="1">
      <c r="A16" s="27" t="s">
        <v>205</v>
      </c>
      <c r="B16" s="28" t="s">
        <v>206</v>
      </c>
      <c r="C16" s="19" t="s">
        <v>31</v>
      </c>
      <c r="D16" s="25">
        <v>3.0</v>
      </c>
      <c r="E16" s="29" t="s">
        <v>176</v>
      </c>
      <c r="F16" s="27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2026-03-21T12:29:55Z</dcterms:created>
  <dc:creator>openpyxl</dc:creator>
</cp:coreProperties>
</file>